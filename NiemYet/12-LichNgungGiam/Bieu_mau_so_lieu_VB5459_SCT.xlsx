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B:\thuctd.github.io\NiemYet\12-LichNgungGiam\"/>
    </mc:Choice>
  </mc:AlternateContent>
  <xr:revisionPtr revIDLastSave="0" documentId="13_ncr:1_{AE369D5A-8305-4D36-A7BE-4655E0825F31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HuongDan" sheetId="1" r:id="rId1"/>
    <sheet name="Bieu01" sheetId="2" r:id="rId2"/>
    <sheet name="Bieu02" sheetId="3" r:id="rId3"/>
    <sheet name="Bieu03" sheetId="4" r:id="rId4"/>
    <sheet name="Bieu03A_DS_TBA" sheetId="5" r:id="rId5"/>
    <sheet name="Bieu04" sheetId="6" r:id="rId6"/>
    <sheet name="Bieu04A_12thang" sheetId="7" r:id="rId7"/>
  </sheets>
  <definedNames>
    <definedName name="_xlnm._FilterDatabase" localSheetId="5" hidden="1">Bieu04!$A$6:$P$412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4" l="1"/>
  <c r="D10" i="4"/>
  <c r="E10" i="4"/>
  <c r="E9" i="4"/>
  <c r="E11" i="4"/>
  <c r="E12" i="4"/>
  <c r="E13" i="4"/>
  <c r="E8" i="4"/>
  <c r="D9" i="4"/>
  <c r="D11" i="4"/>
  <c r="D12" i="4"/>
  <c r="D13" i="4"/>
  <c r="D8" i="4"/>
  <c r="C9" i="4"/>
  <c r="C11" i="4"/>
  <c r="C12" i="4"/>
  <c r="C13" i="4"/>
  <c r="C8" i="4"/>
  <c r="L384" i="6"/>
  <c r="L110" i="6"/>
  <c r="L344" i="6"/>
  <c r="L111" i="6"/>
  <c r="L112" i="6"/>
  <c r="L113" i="6"/>
  <c r="L270" i="6"/>
  <c r="L271" i="6"/>
  <c r="L272" i="6"/>
  <c r="L273" i="6"/>
  <c r="L345" i="6"/>
  <c r="L346" i="6"/>
  <c r="L347" i="6"/>
  <c r="L114" i="6"/>
  <c r="L348" i="6"/>
  <c r="L349" i="6"/>
  <c r="L350" i="6"/>
  <c r="L385" i="6"/>
  <c r="L386" i="6"/>
  <c r="L387" i="6"/>
  <c r="L115" i="6"/>
  <c r="L116" i="6"/>
  <c r="L177" i="6"/>
  <c r="L178" i="6"/>
  <c r="L179" i="6"/>
  <c r="L180" i="6"/>
  <c r="L181" i="6"/>
  <c r="L233" i="6"/>
  <c r="L234" i="6"/>
  <c r="L235" i="6"/>
  <c r="L236" i="6"/>
  <c r="L117" i="6"/>
  <c r="L118" i="6"/>
  <c r="L119" i="6"/>
  <c r="L120" i="6"/>
  <c r="L121" i="6"/>
  <c r="L274" i="6"/>
  <c r="L275" i="6"/>
  <c r="L276" i="6"/>
  <c r="L277" i="6"/>
  <c r="L278" i="6"/>
  <c r="L279" i="6"/>
  <c r="L122" i="6"/>
  <c r="L123" i="6"/>
  <c r="L351" i="6"/>
  <c r="L280" i="6"/>
  <c r="L281" i="6"/>
  <c r="L388" i="6"/>
  <c r="L389" i="6"/>
  <c r="L390" i="6"/>
  <c r="L124" i="6"/>
  <c r="L125" i="6"/>
  <c r="L237" i="6"/>
  <c r="L238" i="6"/>
  <c r="L126" i="6"/>
  <c r="L182" i="6"/>
  <c r="L239" i="6"/>
  <c r="L240" i="6"/>
  <c r="L352" i="6"/>
  <c r="L183" i="6"/>
  <c r="L184" i="6"/>
  <c r="L185" i="6"/>
  <c r="L127" i="6"/>
  <c r="L128" i="6"/>
  <c r="L129" i="6"/>
  <c r="L353" i="6"/>
  <c r="L354" i="6"/>
  <c r="L355" i="6"/>
  <c r="L241" i="6"/>
  <c r="L242" i="6"/>
  <c r="L243" i="6"/>
  <c r="L282" i="6"/>
  <c r="L130" i="6"/>
  <c r="L283" i="6"/>
  <c r="L284" i="6"/>
  <c r="L285" i="6"/>
  <c r="L186" i="6"/>
  <c r="L187" i="6"/>
  <c r="L188" i="6"/>
  <c r="L189" i="6"/>
  <c r="L286" i="6"/>
  <c r="L287" i="6"/>
  <c r="L288" i="6"/>
  <c r="L289" i="6"/>
  <c r="L131" i="6"/>
  <c r="L391" i="6"/>
  <c r="L132" i="6"/>
  <c r="L133" i="6"/>
  <c r="L134" i="6"/>
  <c r="L290" i="6"/>
  <c r="L135" i="6"/>
  <c r="L136" i="6"/>
  <c r="L137" i="6"/>
  <c r="L392" i="6"/>
  <c r="L393" i="6"/>
  <c r="L394" i="6"/>
  <c r="L395" i="6"/>
  <c r="L356" i="6"/>
  <c r="L357" i="6"/>
  <c r="L358" i="6"/>
  <c r="L359" i="6"/>
  <c r="L396" i="6"/>
  <c r="L397" i="6"/>
  <c r="L398" i="6"/>
  <c r="L399" i="6"/>
  <c r="L138" i="6"/>
  <c r="L139" i="6"/>
  <c r="L140" i="6"/>
  <c r="L291" i="6"/>
  <c r="L141" i="6"/>
  <c r="L142" i="6"/>
  <c r="L143" i="6"/>
  <c r="L144" i="6"/>
  <c r="L292" i="6"/>
  <c r="L293" i="6"/>
  <c r="L244" i="6"/>
  <c r="L245" i="6"/>
  <c r="L190" i="6"/>
  <c r="L145" i="6"/>
  <c r="L360" i="6"/>
  <c r="L146" i="6"/>
  <c r="L147" i="6"/>
  <c r="L148" i="6"/>
  <c r="L149" i="6"/>
  <c r="L150" i="6"/>
  <c r="L151" i="6"/>
  <c r="L152" i="6"/>
  <c r="L153" i="6"/>
  <c r="L294" i="6"/>
  <c r="L295" i="6"/>
  <c r="L154" i="6"/>
  <c r="L155" i="6"/>
  <c r="L156" i="6"/>
  <c r="L157" i="6"/>
  <c r="L158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46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61" i="6"/>
  <c r="L400" i="6"/>
  <c r="L401" i="6"/>
  <c r="L402" i="6"/>
  <c r="L403" i="6"/>
  <c r="L404" i="6"/>
  <c r="L405" i="6"/>
  <c r="L406" i="6"/>
  <c r="L407" i="6"/>
  <c r="L408" i="6"/>
  <c r="L409" i="6"/>
  <c r="L410" i="6"/>
  <c r="L159" i="6"/>
  <c r="L247" i="6"/>
  <c r="L322" i="6"/>
  <c r="L323" i="6"/>
  <c r="L362" i="6"/>
  <c r="L363" i="6"/>
  <c r="L411" i="6"/>
  <c r="L160" i="6"/>
  <c r="L161" i="6"/>
  <c r="L162" i="6"/>
  <c r="L163" i="6"/>
  <c r="L164" i="6"/>
  <c r="L165" i="6"/>
  <c r="L166" i="6"/>
  <c r="L167" i="6"/>
  <c r="L248" i="6"/>
  <c r="L364" i="6"/>
  <c r="L365" i="6"/>
  <c r="L412" i="6"/>
  <c r="L211" i="6"/>
  <c r="L168" i="6"/>
  <c r="L249" i="6"/>
  <c r="J384" i="6"/>
  <c r="J110" i="6"/>
  <c r="J344" i="6"/>
  <c r="J111" i="6"/>
  <c r="J112" i="6"/>
  <c r="J113" i="6"/>
  <c r="J270" i="6"/>
  <c r="J271" i="6"/>
  <c r="J272" i="6"/>
  <c r="J273" i="6"/>
  <c r="J345" i="6"/>
  <c r="J346" i="6"/>
  <c r="J347" i="6"/>
  <c r="J114" i="6"/>
  <c r="J348" i="6"/>
  <c r="J349" i="6"/>
  <c r="J350" i="6"/>
  <c r="J385" i="6"/>
  <c r="J386" i="6"/>
  <c r="J387" i="6"/>
  <c r="J115" i="6"/>
  <c r="J116" i="6"/>
  <c r="J177" i="6"/>
  <c r="J178" i="6"/>
  <c r="J179" i="6"/>
  <c r="J180" i="6"/>
  <c r="J181" i="6"/>
  <c r="J233" i="6"/>
  <c r="J234" i="6"/>
  <c r="J235" i="6"/>
  <c r="J236" i="6"/>
  <c r="J117" i="6"/>
  <c r="J118" i="6"/>
  <c r="J119" i="6"/>
  <c r="J120" i="6"/>
  <c r="J121" i="6"/>
  <c r="J274" i="6"/>
  <c r="J275" i="6"/>
  <c r="J276" i="6"/>
  <c r="J277" i="6"/>
  <c r="J278" i="6"/>
  <c r="J279" i="6"/>
  <c r="J122" i="6"/>
  <c r="J123" i="6"/>
  <c r="J351" i="6"/>
  <c r="J280" i="6"/>
  <c r="J281" i="6"/>
  <c r="J388" i="6"/>
  <c r="J389" i="6"/>
  <c r="J390" i="6"/>
  <c r="J124" i="6"/>
  <c r="J125" i="6"/>
  <c r="J237" i="6"/>
  <c r="J238" i="6"/>
  <c r="J126" i="6"/>
  <c r="J182" i="6"/>
  <c r="J239" i="6"/>
  <c r="J240" i="6"/>
  <c r="J352" i="6"/>
  <c r="J183" i="6"/>
  <c r="J184" i="6"/>
  <c r="J185" i="6"/>
  <c r="J127" i="6"/>
  <c r="J128" i="6"/>
  <c r="J129" i="6"/>
  <c r="J353" i="6"/>
  <c r="J354" i="6"/>
  <c r="J355" i="6"/>
  <c r="J241" i="6"/>
  <c r="J242" i="6"/>
  <c r="J243" i="6"/>
  <c r="J282" i="6"/>
  <c r="J130" i="6"/>
  <c r="J283" i="6"/>
  <c r="J284" i="6"/>
  <c r="J285" i="6"/>
  <c r="J186" i="6"/>
  <c r="J187" i="6"/>
  <c r="J188" i="6"/>
  <c r="J189" i="6"/>
  <c r="J286" i="6"/>
  <c r="J287" i="6"/>
  <c r="J288" i="6"/>
  <c r="J289" i="6"/>
  <c r="J131" i="6"/>
  <c r="J391" i="6"/>
  <c r="J132" i="6"/>
  <c r="J133" i="6"/>
  <c r="J134" i="6"/>
  <c r="J290" i="6"/>
  <c r="J135" i="6"/>
  <c r="J136" i="6"/>
  <c r="J137" i="6"/>
  <c r="J392" i="6"/>
  <c r="J393" i="6"/>
  <c r="J394" i="6"/>
  <c r="J395" i="6"/>
  <c r="J356" i="6"/>
  <c r="J357" i="6"/>
  <c r="J358" i="6"/>
  <c r="J359" i="6"/>
  <c r="J396" i="6"/>
  <c r="J397" i="6"/>
  <c r="J398" i="6"/>
  <c r="J399" i="6"/>
  <c r="J138" i="6"/>
  <c r="J139" i="6"/>
  <c r="J140" i="6"/>
  <c r="J291" i="6"/>
  <c r="J141" i="6"/>
  <c r="J142" i="6"/>
  <c r="J143" i="6"/>
  <c r="J144" i="6"/>
  <c r="J292" i="6"/>
  <c r="J293" i="6"/>
  <c r="J244" i="6"/>
  <c r="J245" i="6"/>
  <c r="J190" i="6"/>
  <c r="J145" i="6"/>
  <c r="J360" i="6"/>
  <c r="J146" i="6"/>
  <c r="J147" i="6"/>
  <c r="J148" i="6"/>
  <c r="J149" i="6"/>
  <c r="J150" i="6"/>
  <c r="J151" i="6"/>
  <c r="J152" i="6"/>
  <c r="J153" i="6"/>
  <c r="J294" i="6"/>
  <c r="J295" i="6"/>
  <c r="J154" i="6"/>
  <c r="J155" i="6"/>
  <c r="J156" i="6"/>
  <c r="J157" i="6"/>
  <c r="J158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46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61" i="6"/>
  <c r="J400" i="6"/>
  <c r="J401" i="6"/>
  <c r="J402" i="6"/>
  <c r="J403" i="6"/>
  <c r="J404" i="6"/>
  <c r="J405" i="6"/>
  <c r="J406" i="6"/>
  <c r="J407" i="6"/>
  <c r="J408" i="6"/>
  <c r="J409" i="6"/>
  <c r="J410" i="6"/>
  <c r="J159" i="6"/>
  <c r="J247" i="6"/>
  <c r="J322" i="6"/>
  <c r="J323" i="6"/>
  <c r="J362" i="6"/>
  <c r="J363" i="6"/>
  <c r="J411" i="6"/>
  <c r="J160" i="6"/>
  <c r="J161" i="6"/>
  <c r="J162" i="6"/>
  <c r="J163" i="6"/>
  <c r="J164" i="6"/>
  <c r="J165" i="6"/>
  <c r="J166" i="6"/>
  <c r="J167" i="6"/>
  <c r="J248" i="6"/>
  <c r="J364" i="6"/>
  <c r="J365" i="6"/>
  <c r="J412" i="6"/>
  <c r="J211" i="6"/>
  <c r="J168" i="6"/>
  <c r="J249" i="6"/>
  <c r="O416" i="7"/>
  <c r="AB41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J52" i="6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D38" i="2"/>
  <c r="H38" i="2"/>
  <c r="L13" i="6"/>
  <c r="J13" i="6"/>
  <c r="L383" i="6"/>
  <c r="J383" i="6"/>
  <c r="L372" i="6"/>
  <c r="J372" i="6"/>
  <c r="L92" i="6"/>
  <c r="J92" i="6"/>
  <c r="L232" i="6"/>
  <c r="J232" i="6"/>
  <c r="L266" i="6"/>
  <c r="J266" i="6"/>
  <c r="L79" i="6"/>
  <c r="J79" i="6"/>
  <c r="L268" i="6"/>
  <c r="J268" i="6"/>
  <c r="L100" i="6"/>
  <c r="J100" i="6"/>
  <c r="L339" i="6"/>
  <c r="J339" i="6"/>
  <c r="L370" i="6"/>
  <c r="J370" i="6"/>
  <c r="L329" i="6"/>
  <c r="J329" i="6"/>
  <c r="L65" i="6"/>
  <c r="J65" i="6"/>
  <c r="L229" i="6"/>
  <c r="J229" i="6"/>
  <c r="L328" i="6"/>
  <c r="J328" i="6"/>
  <c r="L108" i="6"/>
  <c r="J108" i="6"/>
  <c r="L107" i="6"/>
  <c r="J107" i="6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L379" i="6" s="1"/>
  <c r="J379" i="6"/>
  <c r="AB122" i="7"/>
  <c r="L83" i="6" s="1"/>
  <c r="J83" i="6"/>
  <c r="AB121" i="7"/>
  <c r="L380" i="6" s="1"/>
  <c r="J380" i="6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L224" i="6" s="1"/>
  <c r="J224" i="6"/>
  <c r="AB91" i="7"/>
  <c r="AB90" i="7"/>
  <c r="AB89" i="7"/>
  <c r="L223" i="6" s="1"/>
  <c r="J223" i="6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L85" i="6" s="1"/>
  <c r="J85" i="6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O7" i="7"/>
  <c r="L106" i="6"/>
  <c r="J106" i="6"/>
  <c r="L105" i="6"/>
  <c r="J105" i="6"/>
  <c r="L343" i="6"/>
  <c r="J343" i="6"/>
  <c r="L342" i="6"/>
  <c r="J342" i="6"/>
  <c r="L341" i="6"/>
  <c r="J341" i="6"/>
  <c r="L340" i="6"/>
  <c r="J340" i="6"/>
  <c r="L338" i="6"/>
  <c r="J338" i="6"/>
  <c r="L337" i="6"/>
  <c r="J337" i="6"/>
  <c r="L336" i="6"/>
  <c r="J336" i="6"/>
  <c r="L335" i="6"/>
  <c r="J335" i="6"/>
  <c r="L334" i="6"/>
  <c r="J334" i="6"/>
  <c r="L333" i="6"/>
  <c r="J333" i="6"/>
  <c r="L332" i="6"/>
  <c r="J332" i="6"/>
  <c r="L331" i="6"/>
  <c r="J331" i="6"/>
  <c r="L104" i="6"/>
  <c r="J104" i="6"/>
  <c r="L103" i="6"/>
  <c r="J103" i="6"/>
  <c r="L102" i="6"/>
  <c r="J102" i="6"/>
  <c r="L101" i="6"/>
  <c r="J101" i="6"/>
  <c r="L99" i="6"/>
  <c r="J99" i="6"/>
  <c r="L98" i="6"/>
  <c r="J98" i="6"/>
  <c r="L97" i="6"/>
  <c r="J97" i="6"/>
  <c r="L96" i="6"/>
  <c r="J96" i="6"/>
  <c r="L95" i="6"/>
  <c r="J95" i="6"/>
  <c r="L94" i="6"/>
  <c r="J94" i="6"/>
  <c r="L269" i="6"/>
  <c r="J269" i="6"/>
  <c r="L93" i="6"/>
  <c r="J93" i="6"/>
  <c r="L91" i="6"/>
  <c r="J91" i="6"/>
  <c r="L90" i="6"/>
  <c r="J90" i="6"/>
  <c r="L89" i="6"/>
  <c r="J89" i="6"/>
  <c r="L382" i="6"/>
  <c r="J382" i="6"/>
  <c r="L267" i="6"/>
  <c r="J267" i="6"/>
  <c r="L265" i="6"/>
  <c r="J265" i="6"/>
  <c r="L231" i="6"/>
  <c r="J231" i="6"/>
  <c r="L230" i="6"/>
  <c r="J230" i="6"/>
  <c r="L176" i="6"/>
  <c r="J176" i="6"/>
  <c r="L381" i="6"/>
  <c r="J381" i="6"/>
  <c r="L330" i="6"/>
  <c r="J330" i="6"/>
  <c r="L84" i="6"/>
  <c r="J84" i="6"/>
  <c r="L88" i="6"/>
  <c r="J88" i="6"/>
  <c r="L87" i="6"/>
  <c r="J87" i="6"/>
  <c r="L86" i="6"/>
  <c r="J86" i="6"/>
  <c r="L378" i="6"/>
  <c r="J378" i="6"/>
  <c r="L377" i="6"/>
  <c r="J377" i="6"/>
  <c r="L264" i="6"/>
  <c r="J264" i="6"/>
  <c r="L376" i="6"/>
  <c r="J376" i="6"/>
  <c r="L375" i="6"/>
  <c r="J375" i="6"/>
  <c r="L374" i="6"/>
  <c r="J374" i="6"/>
  <c r="L373" i="6"/>
  <c r="J373" i="6"/>
  <c r="L82" i="6"/>
  <c r="J82" i="6"/>
  <c r="L228" i="6"/>
  <c r="J228" i="6"/>
  <c r="L81" i="6"/>
  <c r="J81" i="6"/>
  <c r="L80" i="6"/>
  <c r="J80" i="6"/>
  <c r="L78" i="6"/>
  <c r="J78" i="6"/>
  <c r="L77" i="6"/>
  <c r="J77" i="6"/>
  <c r="L227" i="6"/>
  <c r="J227" i="6"/>
  <c r="L226" i="6"/>
  <c r="J226" i="6"/>
  <c r="L225" i="6"/>
  <c r="J225" i="6"/>
  <c r="L76" i="6"/>
  <c r="J76" i="6"/>
  <c r="L75" i="6"/>
  <c r="J75" i="6"/>
  <c r="L74" i="6"/>
  <c r="J74" i="6"/>
  <c r="L73" i="6"/>
  <c r="J73" i="6"/>
  <c r="L72" i="6"/>
  <c r="J72" i="6"/>
  <c r="L71" i="6"/>
  <c r="J71" i="6"/>
  <c r="L70" i="6"/>
  <c r="J70" i="6"/>
  <c r="L69" i="6"/>
  <c r="J69" i="6"/>
  <c r="L68" i="6"/>
  <c r="J68" i="6"/>
  <c r="L67" i="6"/>
  <c r="J67" i="6"/>
  <c r="L66" i="6"/>
  <c r="J66" i="6"/>
  <c r="L64" i="6"/>
  <c r="J64" i="6"/>
  <c r="L63" i="6"/>
  <c r="J63" i="6"/>
  <c r="L62" i="6"/>
  <c r="J62" i="6"/>
  <c r="L61" i="6"/>
  <c r="J61" i="6"/>
  <c r="L60" i="6"/>
  <c r="J60" i="6"/>
  <c r="L59" i="6"/>
  <c r="J59" i="6"/>
  <c r="L58" i="6"/>
  <c r="J58" i="6"/>
  <c r="L57" i="6"/>
  <c r="J57" i="6"/>
  <c r="L56" i="6"/>
  <c r="J56" i="6"/>
  <c r="L55" i="6"/>
  <c r="J55" i="6"/>
  <c r="L54" i="6"/>
  <c r="J54" i="6"/>
  <c r="L53" i="6"/>
  <c r="J53" i="6"/>
  <c r="L52" i="6"/>
  <c r="L51" i="6"/>
  <c r="J51" i="6"/>
  <c r="L50" i="6"/>
  <c r="J50" i="6"/>
  <c r="L49" i="6"/>
  <c r="J49" i="6"/>
  <c r="L48" i="6"/>
  <c r="J48" i="6"/>
  <c r="L47" i="6"/>
  <c r="J47" i="6"/>
  <c r="L46" i="6"/>
  <c r="J46" i="6"/>
  <c r="L222" i="6"/>
  <c r="J222" i="6"/>
  <c r="L221" i="6"/>
  <c r="J221" i="6"/>
  <c r="L45" i="6"/>
  <c r="J45" i="6"/>
  <c r="L44" i="6"/>
  <c r="J44" i="6"/>
  <c r="L43" i="6"/>
  <c r="J43" i="6"/>
  <c r="L42" i="6"/>
  <c r="J42" i="6"/>
  <c r="L371" i="6"/>
  <c r="J371" i="6"/>
  <c r="L41" i="6"/>
  <c r="J41" i="6"/>
  <c r="L263" i="6"/>
  <c r="J263" i="6"/>
  <c r="L262" i="6"/>
  <c r="J262" i="6"/>
  <c r="L369" i="6"/>
  <c r="J369" i="6"/>
  <c r="L327" i="6"/>
  <c r="J327" i="6"/>
  <c r="L261" i="6"/>
  <c r="J261" i="6"/>
  <c r="L251" i="6"/>
  <c r="J251" i="6"/>
  <c r="L174" i="6"/>
  <c r="J174" i="6"/>
  <c r="L29" i="6"/>
  <c r="J29" i="6"/>
  <c r="L259" i="6"/>
  <c r="J259" i="6"/>
  <c r="L24" i="6"/>
  <c r="J24" i="6"/>
  <c r="L23" i="6"/>
  <c r="J23" i="6"/>
  <c r="L38" i="6"/>
  <c r="J38" i="6"/>
  <c r="L37" i="6"/>
  <c r="J37" i="6"/>
  <c r="L258" i="6"/>
  <c r="J258" i="6"/>
  <c r="L220" i="6"/>
  <c r="J220" i="6"/>
  <c r="L173" i="6"/>
  <c r="J173" i="6"/>
  <c r="L219" i="6"/>
  <c r="J219" i="6"/>
  <c r="L257" i="6"/>
  <c r="J257" i="6"/>
  <c r="L256" i="6"/>
  <c r="J256" i="6"/>
  <c r="L218" i="6"/>
  <c r="J218" i="6"/>
  <c r="L36" i="6"/>
  <c r="J36" i="6"/>
  <c r="L260" i="6"/>
  <c r="J260" i="6"/>
  <c r="L172" i="6"/>
  <c r="J172" i="6"/>
  <c r="L22" i="6"/>
  <c r="J22" i="6"/>
  <c r="L326" i="6"/>
  <c r="J326" i="6"/>
  <c r="L171" i="6"/>
  <c r="J171" i="6"/>
  <c r="L217" i="6"/>
  <c r="J217" i="6"/>
  <c r="L35" i="6"/>
  <c r="J35" i="6"/>
  <c r="L216" i="6"/>
  <c r="J216" i="6"/>
  <c r="L40" i="6"/>
  <c r="J40" i="6"/>
  <c r="L21" i="6"/>
  <c r="J21" i="6"/>
  <c r="L20" i="6"/>
  <c r="J20" i="6"/>
  <c r="L34" i="6"/>
  <c r="J34" i="6"/>
  <c r="L28" i="6"/>
  <c r="J28" i="6"/>
  <c r="L215" i="6"/>
  <c r="J215" i="6"/>
  <c r="L19" i="6"/>
  <c r="J19" i="6"/>
  <c r="L255" i="6"/>
  <c r="J255" i="6"/>
  <c r="L252" i="6"/>
  <c r="J252" i="6"/>
  <c r="L254" i="6"/>
  <c r="J254" i="6"/>
  <c r="L33" i="6"/>
  <c r="J33" i="6"/>
  <c r="L27" i="6"/>
  <c r="J27" i="6"/>
  <c r="L325" i="6"/>
  <c r="J325" i="6"/>
  <c r="L39" i="6"/>
  <c r="J39" i="6"/>
  <c r="L367" i="6"/>
  <c r="J367" i="6"/>
  <c r="L253" i="6"/>
  <c r="J253" i="6"/>
  <c r="L368" i="6"/>
  <c r="J368" i="6"/>
  <c r="L214" i="6"/>
  <c r="J214" i="6"/>
  <c r="L213" i="6"/>
  <c r="J213" i="6"/>
  <c r="L32" i="6"/>
  <c r="J32" i="6"/>
  <c r="L18" i="6"/>
  <c r="J18" i="6"/>
  <c r="L175" i="6"/>
  <c r="J175" i="6"/>
  <c r="L31" i="6"/>
  <c r="J31" i="6"/>
  <c r="L30" i="6"/>
  <c r="J30" i="6"/>
  <c r="L17" i="6"/>
  <c r="J17" i="6"/>
  <c r="L170" i="6"/>
  <c r="J170" i="6"/>
  <c r="L26" i="6"/>
  <c r="J26" i="6"/>
  <c r="L25" i="6"/>
  <c r="J25" i="6"/>
  <c r="L169" i="6"/>
  <c r="J169" i="6"/>
  <c r="L16" i="6"/>
  <c r="J16" i="6"/>
  <c r="L15" i="6"/>
  <c r="J15" i="6"/>
  <c r="L14" i="6"/>
  <c r="J14" i="6"/>
  <c r="L12" i="6"/>
  <c r="J12" i="6"/>
  <c r="L11" i="6"/>
  <c r="J11" i="6"/>
  <c r="L10" i="6"/>
  <c r="J10" i="6"/>
  <c r="L9" i="6"/>
  <c r="J9" i="6"/>
  <c r="L8" i="6"/>
  <c r="J8" i="6"/>
  <c r="L7" i="6"/>
  <c r="J7" i="6"/>
  <c r="L212" i="6"/>
  <c r="J212" i="6"/>
  <c r="L366" i="6"/>
  <c r="J366" i="6"/>
  <c r="L324" i="6"/>
  <c r="J324" i="6"/>
  <c r="L250" i="6"/>
  <c r="J250" i="6"/>
  <c r="L109" i="6"/>
  <c r="J109" i="6"/>
  <c r="H38" i="4"/>
  <c r="G38" i="4"/>
  <c r="F38" i="4"/>
  <c r="G13" i="3"/>
  <c r="F13" i="3"/>
  <c r="E13" i="3"/>
  <c r="C13" i="3"/>
  <c r="D12" i="3"/>
  <c r="D11" i="3"/>
  <c r="D10" i="3"/>
  <c r="D9" i="3"/>
  <c r="D8" i="3"/>
  <c r="D7" i="3"/>
  <c r="P38" i="2"/>
  <c r="O38" i="2"/>
  <c r="N38" i="2"/>
  <c r="M38" i="2"/>
  <c r="L38" i="2"/>
  <c r="K38" i="2"/>
  <c r="J38" i="2"/>
  <c r="I38" i="2"/>
  <c r="G38" i="2"/>
  <c r="F38" i="2"/>
  <c r="E38" i="2"/>
  <c r="C17" i="2"/>
  <c r="C16" i="2"/>
  <c r="C15" i="2"/>
  <c r="C14" i="2"/>
  <c r="C13" i="2"/>
  <c r="C12" i="2"/>
  <c r="C11" i="2"/>
  <c r="C10" i="2"/>
  <c r="C9" i="2"/>
  <c r="C8" i="2"/>
  <c r="C7" i="2"/>
  <c r="E38" i="4" l="1"/>
  <c r="D38" i="4"/>
  <c r="C38" i="4"/>
  <c r="D13" i="3"/>
</calcChain>
</file>

<file path=xl/sharedStrings.xml><?xml version="1.0" encoding="utf-8"?>
<sst xmlns="http://schemas.openxmlformats.org/spreadsheetml/2006/main" count="6460" uniqueCount="1889">
  <si>
    <t>BIỂU MẪU THU THẬP SỐ LIỆU THEO VĂN BẢN SỐ 5459/SCT-QLNL NGÀY 02/10/2026 CỦA SỞ CÔNG THƯƠNG</t>
  </si>
  <si>
    <t>Dùng nội bộ Công ty Điện lực Đồng Nai – các Điện lực, Phòng chủ trì điền và gửi Phòng Kinh doanh theo thời hạn tại công văn triển khai.</t>
  </si>
  <si>
    <t>CÁCH ĐIỀN</t>
  </si>
  <si>
    <t>1. Chỉ nhập vào ô nền VÀNG. Ô nền xám nhạt (dòng "VD") là dòng ví dụ minh họa định dạng – XÓA nội dung dòng ví dụ trước khi gửi. Ô nền xám đậm là dòng tổng, tự tính bằng công thức.</t>
  </si>
  <si>
    <t>2. Ghi tên Điện lực tại ô C3 của mỗi biểu. Thêm dòng bằng cách chèn dòng phía trên dòng "Tổng cộng" để công thức tổng tự mở rộng.</t>
  </si>
  <si>
    <t>3. Mốc số liệu: đến hết 30/9/2026; điện năng năm 2025; 9 tháng 2026; 12 tháng từ 10/2025 đến 9/2026 (theo từng chỉ tiêu).</t>
  </si>
  <si>
    <t>4. Tổng hợp theo đơn vị hành chính xã, phường hiện hành. Xã, phường do nhiều Điện lực cùng quản lý: ghi phần thuộc Điện lực mình và ghi chú rõ.</t>
  </si>
  <si>
    <t>5. Biểu 01, 02, 03: chỉ số liệu tổng hợp, KHÔNG kèm thông tin cá nhân khách hàng.</t>
  </si>
  <si>
    <t>6. Công suất ĐMTMN ghi theo kWp tấm quang điện; nếu chỉ có kW inverter thì ghi rõ tại cột Ghi chú.</t>
  </si>
  <si>
    <t>7. Biểu 01: cột (10), (11) Sở Công Thương yêu cầu dạng "số hộ/công suất"; biểu nội bộ tách thành 2 cột để cộng tổng, Phòng Kinh doanh sẽ ghép khi gửi Sở. Cột (12a), (12b) là cột bổ sung nội bộ phục vụ Mục I.2.c.</t>
  </si>
  <si>
    <t>8. Biểu 04: điện năng, tiền điện từng tháng nhập tại sheet Bieu04_12thang; cột (10), (12) của Biểu 04 tự cộng theo mã khách hàng. Cột (13a), (13b) bổ sung nội bộ phục vụ Mục II.2.</t>
  </si>
  <si>
    <t>9. Biểu 03: kèm danh sách chi tiết TBA quá tải, quá áp tại sheet Bieu03_DS_TBA.</t>
  </si>
  <si>
    <t>Biểu 01. KHÁCH HÀNG SINH HOẠT VÀ HIỆN TRẠNG ĐMTMN HỘ GIA ĐÌNH THEO XÃ, PHƯỜNG</t>
  </si>
  <si>
    <t>(Số liệu đến hết ngày 30/9/2026 – theo Văn bản số 5459/SCT-QLNL)</t>
  </si>
  <si>
    <t>Điện lực:</t>
  </si>
  <si>
    <t>TT</t>
  </si>
  <si>
    <t>Xã, phường</t>
  </si>
  <si>
    <t>Tổng số hộ KH sinh hoạt (hộ)</t>
  </si>
  <si>
    <t>Số hộ dùng công tơ 01 pha</t>
  </si>
  <si>
    <t>Số hộ dùng công tơ 03 pha</t>
  </si>
  <si>
    <t>Điện năng sinh hoạt năm 2025 (kWh)</t>
  </si>
  <si>
    <t>Điện năng sinh hoạt 9 tháng 2026 (kWh)</t>
  </si>
  <si>
    <t>Số hộ đã lắp ĐMTMN (hộ)</t>
  </si>
  <si>
    <t>Tổng công suất ĐMTMN (kWp)</t>
  </si>
  <si>
    <t>(10a) Theo giá cố định trước 2021 – số hộ</t>
  </si>
  <si>
    <t>(10b) Theo giá cố định trước 2021 – kWp</t>
  </si>
  <si>
    <t>(11a) Có lưu trữ điện – số hộ</t>
  </si>
  <si>
    <t>(11b) Có lưu trữ điện – dung lượng (kWh)</t>
  </si>
  <si>
    <t>Số hộ có HĐ mua bán điện dư theo NĐ 58</t>
  </si>
  <si>
    <t>(12b) Số hộ thỏa thuận tỷ lệ &gt; 50%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</si>
  <si>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</si>
  <si>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</si>
  <si>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</si>
  <si>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</si>
  <si>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</si>
  <si>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</si>
  <si>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</si>
  <si>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</si>
  <si>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</si>
  <si>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</si>
  <si>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</si>
  <si>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</si>
  <si>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</si>
  <si>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</si>
  <si>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</si>
  <si>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</si>
  <si>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</si>
  <si>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</si>
  <si>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VD</t>
  </si>
  <si>
    <t>Phường X (ví dụ)</t>
  </si>
  <si>
    <t>Ví dụ</t>
  </si>
  <si>
    <t>Tổng cộng</t>
  </si>
  <si>
    <t>Cột (3) tự tính = (4) + (5). Cột (9) ghi theo công suất lắp đặt đã khai báo/nghiệm thu; trường hợp chỉ có công suất inverter (kW) thì ghi rõ tại Ghi chú.</t>
  </si>
  <si>
    <t>Biểu 02. PHÂN BỐ HỘ KHÁCH HÀNG SINH HOẠT THEO MỨC ĐIỆN NĂNG TIÊU THỤ</t>
  </si>
  <si>
    <t>(Bình quân tháng từ tháng 10/2025 đến tháng 9/2026)</t>
  </si>
  <si>
    <t>Mức điện năng tiêu thụ bình quân tháng (kWh/tháng)</t>
  </si>
  <si>
    <t>Số hộ (hộ)</t>
  </si>
  <si>
    <t>Tỷ lệ (%)</t>
  </si>
  <si>
    <t>Điện năng 12 tháng (kWh)</t>
  </si>
  <si>
    <t>Công suất ĐMTMN (kWp)</t>
  </si>
  <si>
    <t>Từ 0 - 50</t>
  </si>
  <si>
    <t>Từ 51 - 100</t>
  </si>
  <si>
    <t>Từ 101 - 200</t>
  </si>
  <si>
    <t>Từ 201 - 300</t>
  </si>
  <si>
    <t>Từ 301 - 400</t>
  </si>
  <si>
    <t>Từ 401 trở lên</t>
  </si>
  <si>
    <t>Các mức tiêu thụ theo bậc biểu giá bán lẻ điện sinh hoạt hiện hành; nếu biểu giá áp dụng có cơ cấu bậc khác, điều chỉnh và ghi chú.</t>
  </si>
  <si>
    <t>Biểu này do Phòng Kinh doanh trích xuất CMIS cho toàn Công ty; Điện lực không phải điền nếu không được yêu cầu.</t>
  </si>
  <si>
    <t>Biểu 03. KHẢ NĂNG TIẾP NHẬN ĐMTMN CỦA LƯỚI ĐIỆN PHÂN PHỐI THEO XÃ, PHƯỜNG</t>
  </si>
  <si>
    <t>(Số liệu đến hết ngày 30/9/2026)</t>
  </si>
  <si>
    <t>Số TBA phân phối công cộng (trạm)</t>
  </si>
  <si>
    <t>Tổng dung lượng TBA (kVA)</t>
  </si>
  <si>
    <t>Tổng công suất ĐMTMN đấu nối hạ áp (kWp)</t>
  </si>
  <si>
    <t>Số trường hợp đã phản hồi tạm dừng (khoản 5 Điều 15 NĐ 58)</t>
  </si>
  <si>
    <t>Khả năng tiếp nhận thêm 2027–2030 (kWp, ước tính)</t>
  </si>
  <si>
    <t>Kế hoạch cải tạo, nâng cấp lưới</t>
  </si>
  <si>
    <t>Cải tạo, nâng công suất 02 TBA năm 2027</t>
  </si>
  <si>
    <t>Cột (6): kê chi tiết từng trạm tại sheet Bieu03_DS_TBA (tên trạm, địa điểm, dung lượng, mức mang tải, công suất ĐMTMN đã đấu nối).</t>
  </si>
  <si>
    <t>Tên trạm</t>
  </si>
  <si>
    <t>Địa điểm</t>
  </si>
  <si>
    <t>Dung lượng (kVA)</t>
  </si>
  <si>
    <t>Mức mang tải cực đại (%)</t>
  </si>
  <si>
    <t>Công suất ĐMTMN đã đấu nối (kWp)</t>
  </si>
  <si>
    <t>TBA KP3-4</t>
  </si>
  <si>
    <t>Tổ 5, khu phố 3</t>
  </si>
  <si>
    <t>Biểu 04. DANH SÁCH KHÁCH HÀNG KHỐI HÀNH CHÍNH SỰ NGHIỆP (CƠ QUAN, CÔNG SỞ, TRƯỜNG HỌC, BỆNH VIỆN)</t>
  </si>
  <si>
    <t>(Số liệu 12 tháng từ tháng 10/2025 đến tháng 9/2026)</t>
  </si>
  <si>
    <t>Mã khách hàng</t>
  </si>
  <si>
    <t>Tên khách hàng</t>
  </si>
  <si>
    <t>Địa chỉ (xã, phường)</t>
  </si>
  <si>
    <t>Nhóm giá (1/2)</t>
  </si>
  <si>
    <t>Cơ quan NN, ĐVSN công lập (Có/Không)</t>
  </si>
  <si>
    <t>Cấp điện áp đấu nối</t>
  </si>
  <si>
    <t>Loại công tơ, hệ số nhân</t>
  </si>
  <si>
    <t>Pmax theo khoản 3 Điều 11 NĐ 58 (kW)</t>
  </si>
  <si>
    <t>Tỷ trọng điện năng 06h–18h (%)</t>
  </si>
  <si>
    <t>Tiền điện 12 tháng (đồng)</t>
  </si>
  <si>
    <t>ĐMTMN hiện có (kWp) / lưu trữ (kWh)</t>
  </si>
  <si>
    <t>(13a) Thời điểm đưa ĐMTMN vào vận hành</t>
  </si>
  <si>
    <t>(13b) Có bán điện dư (Có/Không)</t>
  </si>
  <si>
    <t>PB0X000012345</t>
  </si>
  <si>
    <t>Có</t>
  </si>
  <si>
    <t>0 / 0</t>
  </si>
  <si>
    <t>ĐIỆN NĂNG, TIỀN ĐIỆN TỪNG THÁNG CỦA KHÁCH HÀNG TẠI BIỂU 04</t>
  </si>
  <si>
    <t>(Từ tháng 10/2025 đến tháng 9/2026)</t>
  </si>
  <si>
    <t>ĐN 10/2025 (kWh)</t>
  </si>
  <si>
    <t>ĐN 11/2025 (kWh)</t>
  </si>
  <si>
    <t>ĐN 12/2025 (kWh)</t>
  </si>
  <si>
    <t>ĐN 01/2026 (kWh)</t>
  </si>
  <si>
    <t>ĐN 02/2026 (kWh)</t>
  </si>
  <si>
    <t>ĐN 03/2026 (kWh)</t>
  </si>
  <si>
    <t>ĐN 04/2026 (kWh)</t>
  </si>
  <si>
    <t>ĐN 05/2026 (kWh)</t>
  </si>
  <si>
    <t>ĐN 06/2026 (kWh)</t>
  </si>
  <si>
    <t>ĐN 07/2026 (kWh)</t>
  </si>
  <si>
    <t>ĐN 08/2026 (kWh)</t>
  </si>
  <si>
    <t>ĐN 09/2026 (kWh)</t>
  </si>
  <si>
    <t>Tổng ĐN 12 tháng (kWh)</t>
  </si>
  <si>
    <t>Tiền điện 10/2025 (đồng)</t>
  </si>
  <si>
    <t>Tiền điện 11/2025 (đồng)</t>
  </si>
  <si>
    <t>Tiền điện 12/2025 (đồng)</t>
  </si>
  <si>
    <t>Tiền điện 01/2026 (đồng)</t>
  </si>
  <si>
    <t>Tiền điện 02/2026 (đồng)</t>
  </si>
  <si>
    <t>Tiền điện 03/2026 (đồng)</t>
  </si>
  <si>
    <t>Tiền điện 04/2026 (đồng)</t>
  </si>
  <si>
    <t>Tiền điện 05/2026 (đồng)</t>
  </si>
  <si>
    <t>Tiền điện 06/2026 (đồng)</t>
  </si>
  <si>
    <t>Tiền điện 07/2026 (đồng)</t>
  </si>
  <si>
    <t>Tiền điện 08/2026 (đồng)</t>
  </si>
  <si>
    <t>Tiền điện 09/2026 (đồng)</t>
  </si>
  <si>
    <t>Tổng tiền điện 12 tháng (đồng)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</si>
  <si>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</si>
  <si>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</si>
  <si>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</si>
  <si>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</si>
  <si>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</si>
  <si>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</si>
  <si>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</si>
  <si>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</si>
  <si>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</si>
  <si>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</si>
  <si>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</si>
  <si>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(12a) Sản lượng điện dư theo NĐ 58 đã mua 9T/2026 (kWh)</t>
  </si>
  <si>
    <t>phát ngược</t>
  </si>
  <si>
    <t>DANH SÁCH TBA CÓ KHẢ NĂNG TIẾP NHẬN ĐMTMN CỦA LƯỚI ĐIỆN PHÂN PHỐI THEO XÃ, PHƯỜNG (kèm Biểu 03)</t>
  </si>
  <si>
    <t>Hiện tượng (bình thường/ quá tải / quá áp/ phát ngược)</t>
  </si>
  <si>
    <t>Số TBA vận hành bình thường/ nguy cơ quá tải/ quá áp / phát ngược</t>
  </si>
  <si>
    <t>Phường Bảo Vinh</t>
  </si>
  <si>
    <t>Phường Long Khánh</t>
  </si>
  <si>
    <t>Phường Hàng Gòn</t>
  </si>
  <si>
    <t>Xã Xuân Đông</t>
  </si>
  <si>
    <t>Xã Xuân Định</t>
  </si>
  <si>
    <t>Xã Xuân Phú</t>
  </si>
  <si>
    <t>Xã Xuân Hòa</t>
  </si>
  <si>
    <t>Xã Xuân Thành</t>
  </si>
  <si>
    <t>Xã Xuân Bắc</t>
  </si>
  <si>
    <t>Phường Xuân Lộc</t>
  </si>
  <si>
    <t>PK05000079867</t>
  </si>
  <si>
    <t>PK05000014840</t>
  </si>
  <si>
    <t>PK05000113065</t>
  </si>
  <si>
    <t>PK05000017787</t>
  </si>
  <si>
    <t>PK05000076520</t>
  </si>
  <si>
    <t>PK05000101726</t>
  </si>
  <si>
    <t>PK05000002937</t>
  </si>
  <si>
    <t>PK05000002938</t>
  </si>
  <si>
    <t>PK05000002939</t>
  </si>
  <si>
    <t>PK05000095448</t>
  </si>
  <si>
    <t>PK05000066209</t>
  </si>
  <si>
    <t>PK05000089246</t>
  </si>
  <si>
    <t>PK05000110443</t>
  </si>
  <si>
    <t>PK05000111708</t>
  </si>
  <si>
    <t>PK05000111709</t>
  </si>
  <si>
    <t>PK05000111712</t>
  </si>
  <si>
    <t>PK05000111713</t>
  </si>
  <si>
    <t>PK05000111715</t>
  </si>
  <si>
    <t>PK05000111716</t>
  </si>
  <si>
    <t>PK05000111717</t>
  </si>
  <si>
    <t>PK05000111718</t>
  </si>
  <si>
    <t>PK05000111719</t>
  </si>
  <si>
    <t>PK05000111720</t>
  </si>
  <si>
    <t>PK05000111721</t>
  </si>
  <si>
    <t>PK05000111722</t>
  </si>
  <si>
    <t>PK05000111723</t>
  </si>
  <si>
    <t>PK05000111724</t>
  </si>
  <si>
    <t>PK05000111725</t>
  </si>
  <si>
    <t>PK05000111726</t>
  </si>
  <si>
    <t>PK05000111727</t>
  </si>
  <si>
    <t>PK05000111729</t>
  </si>
  <si>
    <t>PK05000111731</t>
  </si>
  <si>
    <t>PK05000111733</t>
  </si>
  <si>
    <t>PK05000111734</t>
  </si>
  <si>
    <t>PK05000111736</t>
  </si>
  <si>
    <t>PK05000111738</t>
  </si>
  <si>
    <t>PK05000111739</t>
  </si>
  <si>
    <t>PK05000111740</t>
  </si>
  <si>
    <t>PK05000111741</t>
  </si>
  <si>
    <t>PK05000111742</t>
  </si>
  <si>
    <t>PK05000111743</t>
  </si>
  <si>
    <t>PK05000111744</t>
  </si>
  <si>
    <t>PK05000111745</t>
  </si>
  <si>
    <t>PK05000111746</t>
  </si>
  <si>
    <t>PK05000111747</t>
  </si>
  <si>
    <t>PK05000111748</t>
  </si>
  <si>
    <t>PK05000111751</t>
  </si>
  <si>
    <t>PK05000111753</t>
  </si>
  <si>
    <t>PK05000111754</t>
  </si>
  <si>
    <t>PK05000111756</t>
  </si>
  <si>
    <t>PK05000111758</t>
  </si>
  <si>
    <t>PK05000111762</t>
  </si>
  <si>
    <t>PK05000111763</t>
  </si>
  <si>
    <t>PK05000111764</t>
  </si>
  <si>
    <t>PK05000111765</t>
  </si>
  <si>
    <t>PK05000111766</t>
  </si>
  <si>
    <t>PK05000111781</t>
  </si>
  <si>
    <t>PK05000111782</t>
  </si>
  <si>
    <t>PK05000111783</t>
  </si>
  <si>
    <t>PK05000111785</t>
  </si>
  <si>
    <t>PK05000111786</t>
  </si>
  <si>
    <t>PK05000111788</t>
  </si>
  <si>
    <t>PK05000111790</t>
  </si>
  <si>
    <t>PK05000112325</t>
  </si>
  <si>
    <t>PK05000112761</t>
  </si>
  <si>
    <t>PK05000112762</t>
  </si>
  <si>
    <t>PK05000025206</t>
  </si>
  <si>
    <t>PK05000025207</t>
  </si>
  <si>
    <t>PK05000014828</t>
  </si>
  <si>
    <t>PK05000014844</t>
  </si>
  <si>
    <t>PK05000056445</t>
  </si>
  <si>
    <t>PK05000075883</t>
  </si>
  <si>
    <t>PK05000022209</t>
  </si>
  <si>
    <t>PK05000006308</t>
  </si>
  <si>
    <t>PK05000049677</t>
  </si>
  <si>
    <t>PK05000094565</t>
  </si>
  <si>
    <t>PK05000085985</t>
  </si>
  <si>
    <t>PK05000002998</t>
  </si>
  <si>
    <t>PK05000075538</t>
  </si>
  <si>
    <t>PK05000094295</t>
  </si>
  <si>
    <t>PK05000071849</t>
  </si>
  <si>
    <t>PK05000114957</t>
  </si>
  <si>
    <t>PK05000017794</t>
  </si>
  <si>
    <t>PK05000017802</t>
  </si>
  <si>
    <t>PK05000055036</t>
  </si>
  <si>
    <t>PK05000077910</t>
  </si>
  <si>
    <t>PK05000006298</t>
  </si>
  <si>
    <t>PK05000030534</t>
  </si>
  <si>
    <t>PK05000035620</t>
  </si>
  <si>
    <t>PK05000079447</t>
  </si>
  <si>
    <t>PK05000002953</t>
  </si>
  <si>
    <t>PK05000003012</t>
  </si>
  <si>
    <t>PK05000006283</t>
  </si>
  <si>
    <t>PK05000006284</t>
  </si>
  <si>
    <t>PK05000006322</t>
  </si>
  <si>
    <t>PK05000006340</t>
  </si>
  <si>
    <t>PK05000012223</t>
  </si>
  <si>
    <t>PK05000012241</t>
  </si>
  <si>
    <t>PK05000014827</t>
  </si>
  <si>
    <t>PK05000014841</t>
  </si>
  <si>
    <t>PK05000032215</t>
  </si>
  <si>
    <t>PK05000034145</t>
  </si>
  <si>
    <t>PK05000036500</t>
  </si>
  <si>
    <t>PK05000041071</t>
  </si>
  <si>
    <t>PK05000052171</t>
  </si>
  <si>
    <t>PK05000066911</t>
  </si>
  <si>
    <t>PK05000066921</t>
  </si>
  <si>
    <t>PK05000069870</t>
  </si>
  <si>
    <t>PK05000069871</t>
  </si>
  <si>
    <t>PK05000069872</t>
  </si>
  <si>
    <t>PK05000074291</t>
  </si>
  <si>
    <t>PK05000075568</t>
  </si>
  <si>
    <t>PK05000076179</t>
  </si>
  <si>
    <t>PK05000076180</t>
  </si>
  <si>
    <t>PK05000078026</t>
  </si>
  <si>
    <t>PK05000105756</t>
  </si>
  <si>
    <t>PK05000114958</t>
  </si>
  <si>
    <t>PK05000114959</t>
  </si>
  <si>
    <t>PK05000114960</t>
  </si>
  <si>
    <t>PK05000067594</t>
  </si>
  <si>
    <t>PK05000002970</t>
  </si>
  <si>
    <t>PK05000061798</t>
  </si>
  <si>
    <t>PK05000002968</t>
  </si>
  <si>
    <t>PK05000006304</t>
  </si>
  <si>
    <t>PK05000084767</t>
  </si>
  <si>
    <t>PK05000088041</t>
  </si>
  <si>
    <t>PK05000065687</t>
  </si>
  <si>
    <t>PK05000067600</t>
  </si>
  <si>
    <t>PK05000078579</t>
  </si>
  <si>
    <t>PK05000079446</t>
  </si>
  <si>
    <t>PK05000080291</t>
  </si>
  <si>
    <t>PK05000108571</t>
  </si>
  <si>
    <t>PK05000112327</t>
  </si>
  <si>
    <t>PK05000112600</t>
  </si>
  <si>
    <t>PK05000027330</t>
  </si>
  <si>
    <t>PK05000027331</t>
  </si>
  <si>
    <t>PK05000027329</t>
  </si>
  <si>
    <t>PK05000002956</t>
  </si>
  <si>
    <t>PK05000003006</t>
  </si>
  <si>
    <t>PK05000079991</t>
  </si>
  <si>
    <t>PK05000002952</t>
  </si>
  <si>
    <t>PK05000075603</t>
  </si>
  <si>
    <t>PK05000049939</t>
  </si>
  <si>
    <t>PK05000027239</t>
  </si>
  <si>
    <t>PK05000006286</t>
  </si>
  <si>
    <t>PK05000012265</t>
  </si>
  <si>
    <t>PK05000017781</t>
  </si>
  <si>
    <t>PK05000113831</t>
  </si>
  <si>
    <t>PK05000025188</t>
  </si>
  <si>
    <t>PK05000061815</t>
  </si>
  <si>
    <t>PK05000025211</t>
  </si>
  <si>
    <t>PK05000061103</t>
  </si>
  <si>
    <t>PK05000014843</t>
  </si>
  <si>
    <t>PK05000006330</t>
  </si>
  <si>
    <t>PK05000006324</t>
  </si>
  <si>
    <t>PK05000034403</t>
  </si>
  <si>
    <t>PK05000065526</t>
  </si>
  <si>
    <t>PK05000113832</t>
  </si>
  <si>
    <t>PK05000027333</t>
  </si>
  <si>
    <t>PK05000083869</t>
  </si>
  <si>
    <t>PK05000002974</t>
  </si>
  <si>
    <t>PK05000002971</t>
  </si>
  <si>
    <t>PK05000002983</t>
  </si>
  <si>
    <t>PK05000003007</t>
  </si>
  <si>
    <t>PK05000046486</t>
  </si>
  <si>
    <t>PK05000058398</t>
  </si>
  <si>
    <t>PK05000073425</t>
  </si>
  <si>
    <t>PK05000075867</t>
  </si>
  <si>
    <t>PK05000076283</t>
  </si>
  <si>
    <t>PK05000091169</t>
  </si>
  <si>
    <t>PK05000062638</t>
  </si>
  <si>
    <t>PK05000017796</t>
  </si>
  <si>
    <t>PK05000012981</t>
  </si>
  <si>
    <t>PK05000014832</t>
  </si>
  <si>
    <t>PK05000027215</t>
  </si>
  <si>
    <t>PK05000031908</t>
  </si>
  <si>
    <t>PK05000035223</t>
  </si>
  <si>
    <t>PK05000036124</t>
  </si>
  <si>
    <t>PK05000037095</t>
  </si>
  <si>
    <t>PK05000056879</t>
  </si>
  <si>
    <t>PK05000069862</t>
  </si>
  <si>
    <t>PK05000073124</t>
  </si>
  <si>
    <t>PK05000073185</t>
  </si>
  <si>
    <t>PK05000075899</t>
  </si>
  <si>
    <t>PK05000066101</t>
  </si>
  <si>
    <t>PK05000002928</t>
  </si>
  <si>
    <t>PK05000002975</t>
  </si>
  <si>
    <t>PK05000048540</t>
  </si>
  <si>
    <t>PK05000048721</t>
  </si>
  <si>
    <t>PK05000003001</t>
  </si>
  <si>
    <t>PK05000113064</t>
  </si>
  <si>
    <t>PK05000002981</t>
  </si>
  <si>
    <t>PK05000014830</t>
  </si>
  <si>
    <t>PK05000057818</t>
  </si>
  <si>
    <t>PK05000066133</t>
  </si>
  <si>
    <t>PK05000105823</t>
  </si>
  <si>
    <t>PK05000115025</t>
  </si>
  <si>
    <t>PK05000115039</t>
  </si>
  <si>
    <t>PK05000027334</t>
  </si>
  <si>
    <t>PK05000079757</t>
  </si>
  <si>
    <t>PK05000014835</t>
  </si>
  <si>
    <t>PK05000069540</t>
  </si>
  <si>
    <t>PK05000076509</t>
  </si>
  <si>
    <t>PK05000077331</t>
  </si>
  <si>
    <t>PK05000014824</t>
  </si>
  <si>
    <t>PK05000034545</t>
  </si>
  <si>
    <t>PK05000083241</t>
  </si>
  <si>
    <t>PK05000006287</t>
  </si>
  <si>
    <t>PK05000055914</t>
  </si>
  <si>
    <t>PK05000055915</t>
  </si>
  <si>
    <t>PK05000051910</t>
  </si>
  <si>
    <t>PK05000070041</t>
  </si>
  <si>
    <t>PK05000012221</t>
  </si>
  <si>
    <t>PK05000012235</t>
  </si>
  <si>
    <t>PK05000033510</t>
  </si>
  <si>
    <t>PK05000080109</t>
  </si>
  <si>
    <t>PK05000079434</t>
  </si>
  <si>
    <t>PK05000017777</t>
  </si>
  <si>
    <t>PK05000068145</t>
  </si>
  <si>
    <t>PK05000017785</t>
  </si>
  <si>
    <t>PK05000063866</t>
  </si>
  <si>
    <t>PK05000006297</t>
  </si>
  <si>
    <t>PK05000080995</t>
  </si>
  <si>
    <t>PK05000002936</t>
  </si>
  <si>
    <t>PK05000040842</t>
  </si>
  <si>
    <t>PK05000081466</t>
  </si>
  <si>
    <t>PK05000035100</t>
  </si>
  <si>
    <t>PK05000048720</t>
  </si>
  <si>
    <t>PK05000100708</t>
  </si>
  <si>
    <t>PK05000041801</t>
  </si>
  <si>
    <t>PK05000025197</t>
  </si>
  <si>
    <t>PK05000078605</t>
  </si>
  <si>
    <t>PK05000002991</t>
  </si>
  <si>
    <t>PK05000073648</t>
  </si>
  <si>
    <t>PK05000014825</t>
  </si>
  <si>
    <t>PK05000022205</t>
  </si>
  <si>
    <t>PK05000072461</t>
  </si>
  <si>
    <t>PK05000112694</t>
  </si>
  <si>
    <t>PK05000014849</t>
  </si>
  <si>
    <t>PK05000095219</t>
  </si>
  <si>
    <t>PK05000070126</t>
  </si>
  <si>
    <t>PK05000086665</t>
  </si>
  <si>
    <t>PK05000017786</t>
  </si>
  <si>
    <t>PK05000016617</t>
  </si>
  <si>
    <t>PK05000001630</t>
  </si>
  <si>
    <t>PK05000052135</t>
  </si>
  <si>
    <t>PK05000066853</t>
  </si>
  <si>
    <t>PK05000017776</t>
  </si>
  <si>
    <t>PK05000100512</t>
  </si>
  <si>
    <t>PK05000012222</t>
  </si>
  <si>
    <t>PK05000060587</t>
  </si>
  <si>
    <t>PK05000089957</t>
  </si>
  <si>
    <t>PK05000006281</t>
  </si>
  <si>
    <t>PK05000080941</t>
  </si>
  <si>
    <t>PK05000087714</t>
  </si>
  <si>
    <t>PK05000027214</t>
  </si>
  <si>
    <t>PK05000027242</t>
  </si>
  <si>
    <t>PK05000085459</t>
  </si>
  <si>
    <t>PK05000053320</t>
  </si>
  <si>
    <t>PK05000087326</t>
  </si>
  <si>
    <t>PK05000107412</t>
  </si>
  <si>
    <t>PK05000025185</t>
  </si>
  <si>
    <t>PK05000107101</t>
  </si>
  <si>
    <t>PK05000025202</t>
  </si>
  <si>
    <t>PK05000080943</t>
  </si>
  <si>
    <t>PK05000087826</t>
  </si>
  <si>
    <t>PK05000012228</t>
  </si>
  <si>
    <t>PK05000031018</t>
  </si>
  <si>
    <t>PK05000061818</t>
  </si>
  <si>
    <t>PK05000089955</t>
  </si>
  <si>
    <t>PK05000095320</t>
  </si>
  <si>
    <t>PK05000031250</t>
  </si>
  <si>
    <t>PK05000079495</t>
  </si>
  <si>
    <t>PK05000094806</t>
  </si>
  <si>
    <t>PK05000053128</t>
  </si>
  <si>
    <t>PK05000049177</t>
  </si>
  <si>
    <t>PK05000031185</t>
  </si>
  <si>
    <t>PK05000089833</t>
  </si>
  <si>
    <t>PK05000107926</t>
  </si>
  <si>
    <t>PK05000107202</t>
  </si>
  <si>
    <t>PK05000057691</t>
  </si>
  <si>
    <t>PK05000085596</t>
  </si>
  <si>
    <t>PK05000086137</t>
  </si>
  <si>
    <t>PK05000006282</t>
  </si>
  <si>
    <t>PK05000006338</t>
  </si>
  <si>
    <t>PK05000032022</t>
  </si>
  <si>
    <t>PK05000087283</t>
  </si>
  <si>
    <t>PK05000014836</t>
  </si>
  <si>
    <t>PK05000048808</t>
  </si>
  <si>
    <t>PK05000091298</t>
  </si>
  <si>
    <t>PK05000107928</t>
  </si>
  <si>
    <t>PK05000014845</t>
  </si>
  <si>
    <t>PK05000095217</t>
  </si>
  <si>
    <t>PK05000107203</t>
  </si>
  <si>
    <t>PK05000107537</t>
  </si>
  <si>
    <t>PK05000006295</t>
  </si>
  <si>
    <t>PK05000006316</t>
  </si>
  <si>
    <t>PK05000035796</t>
  </si>
  <si>
    <t>PK05000082481</t>
  </si>
  <si>
    <t>PK05000002997</t>
  </si>
  <si>
    <t>PK05000053322</t>
  </si>
  <si>
    <t>PK05000079573</t>
  </si>
  <si>
    <t>PK05000114933</t>
  </si>
  <si>
    <t>PK05000068622</t>
  </si>
  <si>
    <t>PK05000022224</t>
  </si>
  <si>
    <t>PK05000041769</t>
  </si>
  <si>
    <t>PK05000106013</t>
  </si>
  <si>
    <t>PK05000080942</t>
  </si>
  <si>
    <t>PK05000106634</t>
  </si>
  <si>
    <t>PK05000058936</t>
  </si>
  <si>
    <t>PK05000002994</t>
  </si>
  <si>
    <t>PK05000053586</t>
  </si>
  <si>
    <t>PK05000012251</t>
  </si>
  <si>
    <t>PK05000012252</t>
  </si>
  <si>
    <t>PK05000012263</t>
  </si>
  <si>
    <t>PK05000094632</t>
  </si>
  <si>
    <t>PK05000102646</t>
  </si>
  <si>
    <t>PK05000112804</t>
  </si>
  <si>
    <t>PK05000095319</t>
  </si>
  <si>
    <t>PK05000036651</t>
  </si>
  <si>
    <t>PK05000032078</t>
  </si>
  <si>
    <t>PK05000062748</t>
  </si>
  <si>
    <t>PK05000035560</t>
  </si>
  <si>
    <t>PK05000012243</t>
  </si>
  <si>
    <t>PK05000030166</t>
  </si>
  <si>
    <t>PK05000030563</t>
  </si>
  <si>
    <t>PK05000056653</t>
  </si>
  <si>
    <t>PK05000067909</t>
  </si>
  <si>
    <t>PK05000076122</t>
  </si>
  <si>
    <t>PK05000090382</t>
  </si>
  <si>
    <t>PK05000105123</t>
  </si>
  <si>
    <t>PK05000105124</t>
  </si>
  <si>
    <t>PK05000105125</t>
  </si>
  <si>
    <t>PK05000105126</t>
  </si>
  <si>
    <t>PK05000105127</t>
  </si>
  <si>
    <t>PK05000109555</t>
  </si>
  <si>
    <t>PK05000109556</t>
  </si>
  <si>
    <t>PK05000109557</t>
  </si>
  <si>
    <t>PK05000109558</t>
  </si>
  <si>
    <t>PK05000070680</t>
  </si>
  <si>
    <t>PK05000075493</t>
  </si>
  <si>
    <t>PK05000033913</t>
  </si>
  <si>
    <t>PK05000067911</t>
  </si>
  <si>
    <t>PK05000067910</t>
  </si>
  <si>
    <t>PK05000067912</t>
  </si>
  <si>
    <t>PK05000076524</t>
  </si>
  <si>
    <t>PK05000025201</t>
  </si>
  <si>
    <t>PK05000025205</t>
  </si>
  <si>
    <t>PK05000025209</t>
  </si>
  <si>
    <t>PK05000031517</t>
  </si>
  <si>
    <t>PK05000048652</t>
  </si>
  <si>
    <t>PK05000070952</t>
  </si>
  <si>
    <t>PK05000022206</t>
  </si>
  <si>
    <t>PK05000025184</t>
  </si>
  <si>
    <t>PK05000025189</t>
  </si>
  <si>
    <t>PK05000025198</t>
  </si>
  <si>
    <t>PK05000045447</t>
  </si>
  <si>
    <t>PK05000051227</t>
  </si>
  <si>
    <t>PK05000063503</t>
  </si>
  <si>
    <t>PK05000064208</t>
  </si>
  <si>
    <t>PK05000075547</t>
  </si>
  <si>
    <t>PK05000075601</t>
  </si>
  <si>
    <t>PK05000076166</t>
  </si>
  <si>
    <t>PK05000076281</t>
  </si>
  <si>
    <t>PK05000076282</t>
  </si>
  <si>
    <t>PK05000079783</t>
  </si>
  <si>
    <t>PK05000086996</t>
  </si>
  <si>
    <t>PK05000105246</t>
  </si>
  <si>
    <t>PK05000083565</t>
  </si>
  <si>
    <t>PK05000106787</t>
  </si>
  <si>
    <t>PK05000097263</t>
  </si>
  <si>
    <t>PK05000048653</t>
  </si>
  <si>
    <t>PK05000032303</t>
  </si>
  <si>
    <t>PK05000022227</t>
  </si>
  <si>
    <t>PK05000033304</t>
  </si>
  <si>
    <t>PK05000073106</t>
  </si>
  <si>
    <t>PK05000074273</t>
  </si>
  <si>
    <t>PK05000006337</t>
  </si>
  <si>
    <t>PK05000030973</t>
  </si>
  <si>
    <t>PK05000031017</t>
  </si>
  <si>
    <t>PK05000032079</t>
  </si>
  <si>
    <t>PK05000063878</t>
  </si>
  <si>
    <t>PK05000077471</t>
  </si>
  <si>
    <t>PK05000080944</t>
  </si>
  <si>
    <t>PK05000002980</t>
  </si>
  <si>
    <t>PK05000017798</t>
  </si>
  <si>
    <t>PK05000022219</t>
  </si>
  <si>
    <t>PK05000078487</t>
  </si>
  <si>
    <t>PK05000027241</t>
  </si>
  <si>
    <t>PK05000112605</t>
  </si>
  <si>
    <t>PK05000006290</t>
  </si>
  <si>
    <t>PK05000036060</t>
  </si>
  <si>
    <t>PK05000100441</t>
  </si>
  <si>
    <t>PK05000002940</t>
  </si>
  <si>
    <t>PK05000034058</t>
  </si>
  <si>
    <t>PK05000002969</t>
  </si>
  <si>
    <t>PK05000002973</t>
  </si>
  <si>
    <t>PK05000113685</t>
  </si>
  <si>
    <t>PK05000113850</t>
  </si>
  <si>
    <t>PK05000087327</t>
  </si>
  <si>
    <t>PK05000071861</t>
  </si>
  <si>
    <t>PK05000092067</t>
  </si>
  <si>
    <t>PK05000081995</t>
  </si>
  <si>
    <t>PK05000113146</t>
  </si>
  <si>
    <t>PK05000107525</t>
  </si>
  <si>
    <t>Ban chỉ huy Quân sự xã Xuân Hòa</t>
  </si>
  <si>
    <t>Ban Chỉ huy quân sự xã Xuân Phú</t>
  </si>
  <si>
    <t>Ban chỉ huy quân sự xã Xuân Thành</t>
  </si>
  <si>
    <t>Ban CHQS xã Xuân Định</t>
  </si>
  <si>
    <t>Ban Quản Lý dự án khu vực 07</t>
  </si>
  <si>
    <t>Bảo hiểm Xã hội cơ sở Xuân Lộc</t>
  </si>
  <si>
    <t>Công an phường Xuân Lộc</t>
  </si>
  <si>
    <t>Công an thành phố Đồng Nai</t>
  </si>
  <si>
    <t>Công An thành phố Đồng Nai</t>
  </si>
  <si>
    <t>Công an xã xuân Hòa</t>
  </si>
  <si>
    <t>Công an xã Xuân Hòa</t>
  </si>
  <si>
    <t>Công An xã Xuân Phú</t>
  </si>
  <si>
    <t>Công an xã Xuân Thành</t>
  </si>
  <si>
    <t>Công An xã Xuân Thành</t>
  </si>
  <si>
    <t>Cơ sở cai nghiện ma túy dân tập tự nguyện Xuân Lộc</t>
  </si>
  <si>
    <t xml:space="preserve">Chi cục Chăn nuôi và Thủy sản thành phố Đồng Nai </t>
  </si>
  <si>
    <t>Chi cục Quản lý thị trường thành phố Đồng Nai</t>
  </si>
  <si>
    <t>Phòng cảnh sát điều tra tội phạm về ma túy</t>
  </si>
  <si>
    <t>Phòng Cảnh sát PCCC&amp;CNCH - Công an thành phố Đồng Nai</t>
  </si>
  <si>
    <t>Phòng giao dịch Ngân hàng Chính sách xã hội Xuân Lộc</t>
  </si>
  <si>
    <t>Phòng giao dịch số 3 - Kho Bạc Nhà nước khu vực XVII</t>
  </si>
  <si>
    <t>Phòng thi hành án dân sự khu vực 6 - Đồng Nai</t>
  </si>
  <si>
    <t xml:space="preserve">Phòng văn hóa  - xã hội xã Xuân Định </t>
  </si>
  <si>
    <t>Phòng văn hóa - Xã hội xã Xuân Định</t>
  </si>
  <si>
    <t>Phòng văn hóa - Xã hội xã Xuân Phú</t>
  </si>
  <si>
    <t>Phòng Văn hóa xã hội phường Xuân Lộc</t>
  </si>
  <si>
    <t xml:space="preserve">Phòng Văn hóa xã hội phường Xuân Lộc </t>
  </si>
  <si>
    <t xml:space="preserve">Phòng Văn hóa xã hội phường Xuân Lộc  </t>
  </si>
  <si>
    <t>Phòng Văn hóa Xã hội xã Xuân Định</t>
  </si>
  <si>
    <t>Tiểu đoàn 12</t>
  </si>
  <si>
    <t>Tòa án Nhân dân huyện Xuân Lộc</t>
  </si>
  <si>
    <t>Thống kê cơ sở Xuân Lộc</t>
  </si>
  <si>
    <t>Thuế cơ sở 1 thành phố Đồng Nai</t>
  </si>
  <si>
    <t>Trại giam Xuân Lộc</t>
  </si>
  <si>
    <t>Trại Giam Xuân Lộc</t>
  </si>
  <si>
    <t>Trại giam Xuân Lộc - Phân trại số 1</t>
  </si>
  <si>
    <t>Trại giam Xuân Lộc - Phân trại số 2</t>
  </si>
  <si>
    <t>Trại giam Xuân Lộc - Phân trại số 3</t>
  </si>
  <si>
    <t>Trạm Chăn nuôi và Thú Y huyện Xuân Lộc</t>
  </si>
  <si>
    <t>Trạm y tế phường Xuân Lộc</t>
  </si>
  <si>
    <t>Trạm Y tế phường Xuân Lộc điểm trạm Suối Cát</t>
  </si>
  <si>
    <t>Trạm Y Tế phường Xuân Lộc điểm trạm Xuân Hiệp</t>
  </si>
  <si>
    <t>Trạm Y tế phường Xuân Lộc điểm trạm Xuân Thọ</t>
  </si>
  <si>
    <t>Trạm Y Tế Xã Bảo Hòa</t>
  </si>
  <si>
    <t>Trạm Y Tế xã Lang Minh</t>
  </si>
  <si>
    <t>Trạm Y Tế xã Suối Cao</t>
  </si>
  <si>
    <t>Trạm Y tế xã Xuân Bắc</t>
  </si>
  <si>
    <t>Trạm y tế xã Xuân Định</t>
  </si>
  <si>
    <t>Trạm y tế xã Xuân Định - điểm trạm Y tế Bảo Hòa</t>
  </si>
  <si>
    <t>Trạm y tế xã Xuân Hòa</t>
  </si>
  <si>
    <t>Trạm Y Tế xã Xuân Hòa điểm trạm Xuân Hòa</t>
  </si>
  <si>
    <t>Trạm Y tế xã Xuân Hòa điểm trạm Xuân Tâm</t>
  </si>
  <si>
    <t>Trạm Y tế xã Xuân Thành</t>
  </si>
  <si>
    <t>Trạm Y Tế xã Xuân Xuân điểm trạm Xuân Trường</t>
  </si>
  <si>
    <t>Trung Đoàn 429</t>
  </si>
  <si>
    <t>Trung Đoàn Bộ Binh 3</t>
  </si>
  <si>
    <t>Trung đoàn Đồng Nai</t>
  </si>
  <si>
    <t>Trung tâm Chính trị Xuân Lộc</t>
  </si>
  <si>
    <t>Trung tâm Dịch vụ tổng hợp và Bảo tồn thiên nhiên núi Chứa Chan</t>
  </si>
  <si>
    <t>Trung tâm dịch vụ tổng hợp xã Xuân Định</t>
  </si>
  <si>
    <t>Trung tâm Dịch vụ tổng hợp xã Xuân Phú</t>
  </si>
  <si>
    <t>Trung tâm dịch vụ tổng hợp xã Xuân Phú</t>
  </si>
  <si>
    <t>Trung tâm dịch vụ tổng hợp xã Xuân Thành</t>
  </si>
  <si>
    <t>Trung tâm Giáo dục nghề nghiệp - Giáo dục thường xuyên khu vực 1</t>
  </si>
  <si>
    <t>Trung tâm ngoại ngữ Đông Nam</t>
  </si>
  <si>
    <t xml:space="preserve">Trung tâm phát triển quỹ đất Chi nhánh Xuân Lộc </t>
  </si>
  <si>
    <t>Trung tâm phục vụ hành chính công</t>
  </si>
  <si>
    <t>Trung tâm phục vụ hành chính công phường Xuân Lộc</t>
  </si>
  <si>
    <t>Trung Tâm Y Tế Huyện Xuân Lộc - Trạm y tế xã Xuân Phú</t>
  </si>
  <si>
    <t>Trung tâm Y tế khu vực Xuân Lộc</t>
  </si>
  <si>
    <t>Trường  TH - THCS Trần Phú</t>
  </si>
  <si>
    <t>Trường bắn Quốc Gia khu vực 3</t>
  </si>
  <si>
    <t>Trường bắn Quốc Gia Khu vực 3</t>
  </si>
  <si>
    <t>Trường Bắn Quốc Gia Khu Vực 3</t>
  </si>
  <si>
    <t>Trường Bắn Quốc Gia Khu vực 3</t>
  </si>
  <si>
    <t>Trường Mầm non Bình Hòa</t>
  </si>
  <si>
    <t>Trường Mầm Non Bình Hòa</t>
  </si>
  <si>
    <t>Trường Mầm Non Hồng Ân</t>
  </si>
  <si>
    <t>Trường Mầm Non Lang MInh</t>
  </si>
  <si>
    <t>Trường Mầm Non Lang Minh</t>
  </si>
  <si>
    <t>Trường Mầm non Lang Minh</t>
  </si>
  <si>
    <t>Trường Mầm Non Suối Cao</t>
  </si>
  <si>
    <t>Trường Mầm Non Tư Thục Hướng Dương</t>
  </si>
  <si>
    <t>Trường mầm non Trảng Táo</t>
  </si>
  <si>
    <t>Trường Mầm Non Xuân Bắc</t>
  </si>
  <si>
    <t>Trường Mầm non Xuân Bắc</t>
  </si>
  <si>
    <t>Trường mầm non Xuân Định</t>
  </si>
  <si>
    <t>Trường Mầm non Xuân Định</t>
  </si>
  <si>
    <t>Trường Mầm Non Xuân Định</t>
  </si>
  <si>
    <t>Trường mầm non Xuân Hiệp</t>
  </si>
  <si>
    <t>Trường Mầm non Xuân Hiệp</t>
  </si>
  <si>
    <t>Trường Mầm Non Xuân Hiệp</t>
  </si>
  <si>
    <t>Trường Mầm Non Xuân Hòa</t>
  </si>
  <si>
    <t>Trường mầm non Xuân Hòa</t>
  </si>
  <si>
    <t>Trường mầm non Xuân Hưng</t>
  </si>
  <si>
    <t>Trường Mầm Non Xuân Hưng</t>
  </si>
  <si>
    <t>Trường Mầm non Xuân Hưng</t>
  </si>
  <si>
    <t>Trường Mầm non Xuân Lộc</t>
  </si>
  <si>
    <t>Trường mầm non Xuân Lộc</t>
  </si>
  <si>
    <t>Trường Mầm Non Xuân Phú</t>
  </si>
  <si>
    <t>Trường Mầm Non Xuân Tâm</t>
  </si>
  <si>
    <t>Trường Mầm non Xuân Tâm</t>
  </si>
  <si>
    <t>Trường Mầm Non Xuân Thành</t>
  </si>
  <si>
    <t>Trường Mầm non Xuân Thọ</t>
  </si>
  <si>
    <t>Trường Mần Non Xuân Định - Phân hiệu Bảo Định</t>
  </si>
  <si>
    <t>Trường Mẫu giáo Sơn Ca</t>
  </si>
  <si>
    <t>Trường mẫu giáo Thanh Tâm</t>
  </si>
  <si>
    <t>Trường mẫu giáo Vinh Sơn</t>
  </si>
  <si>
    <t>Trường phổ thông Dân tộc Nội trú THCS Điểu Xiểng</t>
  </si>
  <si>
    <t>Trường Tiểu Học Lạc Long Quân</t>
  </si>
  <si>
    <t>Trường tiểu học Lạc Long Quân</t>
  </si>
  <si>
    <t>Trường Tiểu Học Lê Hồng Phong</t>
  </si>
  <si>
    <t>Trường Tiểu học Lê Hồng Phong</t>
  </si>
  <si>
    <t>Trường Tiểu học Lê Văn Tám</t>
  </si>
  <si>
    <t>Trường tiểu học Lê Văn Tám</t>
  </si>
  <si>
    <t>Trường Tiểu Học Minh Tân</t>
  </si>
  <si>
    <t>Trường Tiểu học Minh Tân</t>
  </si>
  <si>
    <t>Trường Tiểu Học Phù Đổng</t>
  </si>
  <si>
    <t>Trường Tiểu học Phù Đổng</t>
  </si>
  <si>
    <t>Trường tiểu học Phù Đổng</t>
  </si>
  <si>
    <t>Trường tiểu học Triệu Thị Trinh</t>
  </si>
  <si>
    <t>Trường Tiểu học và Trung học cơ sở Huỳnh Văn Nghệ</t>
  </si>
  <si>
    <t>Trường Tiểu Học và Trung học cơ sở Xuân Hòa</t>
  </si>
  <si>
    <t>Trường tiểu học và Trung học cơ sở Xuân Hòa</t>
  </si>
  <si>
    <t>Trường Tiểu học và trung học cơ sở Xuân Hòa</t>
  </si>
  <si>
    <t>Trường Tiểu Học Xuân Bắc</t>
  </si>
  <si>
    <t>Trường Tiểu học Xuân Bắc</t>
  </si>
  <si>
    <t>Trường Tiểu học Xuân Hưng</t>
  </si>
  <si>
    <t>Trường Tiểu Học Xuân Hưng</t>
  </si>
  <si>
    <t>Trường Tiểu học Xuân Tâm</t>
  </si>
  <si>
    <t xml:space="preserve">Trường Tiểu học Xuân Tâm </t>
  </si>
  <si>
    <t>Trường Tiểu Học Xuân Trường</t>
  </si>
  <si>
    <t>Trường Tiểu học, THCS Nguyễn Hữu Cảnh</t>
  </si>
  <si>
    <t>Trường tiểu học, trung học cơ sở và trung học phổ thông Hồng Bàng</t>
  </si>
  <si>
    <t>Trường TH - THCS  Nguyễn Văn Trỗi</t>
  </si>
  <si>
    <t>Trường TH - THCS Chu Văn An</t>
  </si>
  <si>
    <t>Trường TH - THCS Lam Sơn</t>
  </si>
  <si>
    <t>Trường TH - THCS Lý Thường kiệt</t>
  </si>
  <si>
    <t>Trường TH - THCS Lý Thường Kiệt</t>
  </si>
  <si>
    <t>Trường TH - THCS Ngô Sỹ Liên</t>
  </si>
  <si>
    <t>Trường TH - THCS Nguyễn Hiền</t>
  </si>
  <si>
    <t>Trường TH - THCS Nguyễn Văn Trỗi</t>
  </si>
  <si>
    <t>Trường TH - THCS Phan Bội Châu</t>
  </si>
  <si>
    <t>Trường TH - THCS Trần Phú</t>
  </si>
  <si>
    <t>Trường TH -THCS Nguyễn Hiền</t>
  </si>
  <si>
    <t>Trường TH Triệu Thị Trinh</t>
  </si>
  <si>
    <t>Trường TH, THCS Nguyễn Hữu Cảnh</t>
  </si>
  <si>
    <t>Trường THCS Lê Thánh Tông</t>
  </si>
  <si>
    <t>Trường THCS Nguyễn Du</t>
  </si>
  <si>
    <t>Trường THCS Nguyễn Thái Bình</t>
  </si>
  <si>
    <t>Trường THCS Nguyễn Trãi</t>
  </si>
  <si>
    <t>Trường THCS Phan Chu Trinh</t>
  </si>
  <si>
    <t>Trường THPT Xuân Lộc</t>
  </si>
  <si>
    <t>Trường THPT Xuân Thọ</t>
  </si>
  <si>
    <t>Trường TH-THCS Nguyễn Trãi</t>
  </si>
  <si>
    <t>Trường trung học cơ sở Lê Lợi</t>
  </si>
  <si>
    <t>Trường Trung học cơ sở Nguyễn Công Trứ</t>
  </si>
  <si>
    <t>Trường Trung học phổ thông Xuân Hưng</t>
  </si>
  <si>
    <t>UBND phường Xuân Lộc - Giếng nước đường song hành</t>
  </si>
  <si>
    <t>UBND phường Xuân Lộc - Nhà Văn hóa ấp Trung Hiếu trụ sở cũ</t>
  </si>
  <si>
    <t>UBND phường Xuân Lộc - Nhà Văn hóa ấp Trung Nghĩa</t>
  </si>
  <si>
    <t>UBND phường Xuân Lộc - Trụ sở  ấp Thọ Chánh</t>
  </si>
  <si>
    <t>UBND phường Xuân Lộc- Nhà văn hóa ấp Việt Kiều</t>
  </si>
  <si>
    <t>UBND Xã Xuân Bắc</t>
  </si>
  <si>
    <t>UBND xã Xuân Bắc</t>
  </si>
  <si>
    <t xml:space="preserve">UBND Xã Xuân Bắc </t>
  </si>
  <si>
    <t>UBND xã Xuân Bắc - Trụ Sở Ấp 3B</t>
  </si>
  <si>
    <t>UBND Xã Xuân Bắc - Trụ Sở ND Ấp 4A</t>
  </si>
  <si>
    <t>UBND Xã Xuân Bắc - Trụ Sở ND Ấp 4B</t>
  </si>
  <si>
    <t>UBND Xã Xuân Bắc - Trụ Sở ND Ấp Bàu Cối</t>
  </si>
  <si>
    <t>UBND xã Xuân Định</t>
  </si>
  <si>
    <t>UBND Xã Xuân Hoà</t>
  </si>
  <si>
    <t>UBND xã Xuân Hòa</t>
  </si>
  <si>
    <t>UBND Xã Xuân Hòa</t>
  </si>
  <si>
    <t>UBND xã Xuân Hòa - Nhà văn hóa dân tộc Stiêng</t>
  </si>
  <si>
    <t>UBND Xã Xuân Hòa - Trụ Sở Ấp 2</t>
  </si>
  <si>
    <t>UBND xã Xuân Phú</t>
  </si>
  <si>
    <t>UBND xã Xuân Thành</t>
  </si>
  <si>
    <t>UBND Xã Xuân Thành</t>
  </si>
  <si>
    <t>Văn phòng đảng ủy phường Xuân Lộc</t>
  </si>
  <si>
    <t>Văn phòng Đảng ủy xã Xuân Định</t>
  </si>
  <si>
    <t>Văn phòng đảng ủy xã Xuân Hòa</t>
  </si>
  <si>
    <t>Văn phòng Đảng ủy xã Xuân Hòa</t>
  </si>
  <si>
    <t>Văn phòng Đảng ủy Xã Xuân Phú</t>
  </si>
  <si>
    <t>Văn phòng Đảng ủy xã Xuân Thành</t>
  </si>
  <si>
    <t>Văn phòng Đăng ký Đất Đai thành phố Đồng Nai - Chi nhánh Xuân Lộc</t>
  </si>
  <si>
    <t>Văn phòng đăng ký đất đai Thành phố Đồng Nai - Chi nhánh Xuân Lộc</t>
  </si>
  <si>
    <t>Văn phòng HĐND và UBND phường Xuân Lộc</t>
  </si>
  <si>
    <t>Văn Phòng HĐND và UBND phường Xuân Lộc</t>
  </si>
  <si>
    <t>Văn phòng HĐND và UBND Xã Xuân Định</t>
  </si>
  <si>
    <t>Văn phòng HĐND và UBND xã Xuân Phú</t>
  </si>
  <si>
    <t>Văn phòng HĐND và UBND xã Xuân Thành</t>
  </si>
  <si>
    <t>Văn phòng Hội đồng Nhân dân và Ủy ban Nhân dân xã Xuân Bắc</t>
  </si>
  <si>
    <t>Viện kiểm sát nhân dân khu vực 6, thành phố Đồng Nai</t>
  </si>
  <si>
    <t>Không</t>
  </si>
  <si>
    <t>Hạ áp</t>
  </si>
  <si>
    <t>Trung áp</t>
  </si>
  <si>
    <t>Xuân Lộc</t>
  </si>
  <si>
    <t>PK05000003804</t>
  </si>
  <si>
    <t>PK05000022243</t>
  </si>
  <si>
    <t>PK05000022301</t>
  </si>
  <si>
    <t>PK05000024997</t>
  </si>
  <si>
    <t>PK05000027065</t>
  </si>
  <si>
    <t>PK05000047660</t>
  </si>
  <si>
    <t>PK05000066980</t>
  </si>
  <si>
    <t>PK05000078973</t>
  </si>
  <si>
    <t>PK05000080849</t>
  </si>
  <si>
    <t>PK05000082927</t>
  </si>
  <si>
    <t>PK05000085744</t>
  </si>
  <si>
    <t>PK05000094112</t>
  </si>
  <si>
    <t>Trung tâm Dịch vụ Tổng hợp xã Xuân Định</t>
  </si>
  <si>
    <t>xã Xuân Định</t>
  </si>
  <si>
    <t>Điện tử 1 pha, HSN 1</t>
  </si>
  <si>
    <t>Điện tử 1000 pha, HSN 1000</t>
  </si>
  <si>
    <t>ẤP 4 XUÂN HƯNG</t>
  </si>
  <si>
    <t>ẤP 4 XUÂN HƯNG A</t>
  </si>
  <si>
    <t>ẤP 4 XUÂN HƯNG B</t>
  </si>
  <si>
    <t>BẢO CHÁNH 1</t>
  </si>
  <si>
    <t>BẢO CHÁNH 1A</t>
  </si>
  <si>
    <t>BẢO CHÁNH 1C</t>
  </si>
  <si>
    <t>BẢO CHÁNH 2</t>
  </si>
  <si>
    <t>BẢO CHÁNH 2A</t>
  </si>
  <si>
    <t>BẢO CHÁNH 3</t>
  </si>
  <si>
    <t>BẢO CHÁNH 3A</t>
  </si>
  <si>
    <t>BẢO CHÁNH 3B</t>
  </si>
  <si>
    <t>BẢO CHÁNH 3C</t>
  </si>
  <si>
    <t>BẢO CHÁNH 3D</t>
  </si>
  <si>
    <t>BẢO CHÁNH 4A</t>
  </si>
  <si>
    <t>BẢO CHÁNH 4B</t>
  </si>
  <si>
    <t>BẢO CHÁNH 4C</t>
  </si>
  <si>
    <t>BẢO CHÁNH 4D</t>
  </si>
  <si>
    <t>BẢO CHÁNH 4E</t>
  </si>
  <si>
    <t>BẢO CHÁNH 5</t>
  </si>
  <si>
    <t>BẢO CHÁNH 5A</t>
  </si>
  <si>
    <t>BẢO CHÁNH 5B</t>
  </si>
  <si>
    <t>BẢO CHÁNH 6</t>
  </si>
  <si>
    <t>BẢO CHÁNH 6A</t>
  </si>
  <si>
    <t>BẢO CHÁNH 6B</t>
  </si>
  <si>
    <t>BẢO ĐỊNH</t>
  </si>
  <si>
    <t>BẢO ĐỊNH 1</t>
  </si>
  <si>
    <t>BẢO ĐỊNH 2</t>
  </si>
  <si>
    <t>BẢO ĐỊNH 3</t>
  </si>
  <si>
    <t>BẢO HÒA</t>
  </si>
  <si>
    <t>BẢO HÒA A</t>
  </si>
  <si>
    <t>BẢO THỊ 1</t>
  </si>
  <si>
    <t>BẢO THỊ 2</t>
  </si>
  <si>
    <t>BẢO THỊ 2A</t>
  </si>
  <si>
    <t>BẢO THỊ 2B</t>
  </si>
  <si>
    <t>BẢO THỊ 3</t>
  </si>
  <si>
    <t>BẢO THỊ 4</t>
  </si>
  <si>
    <t>BẢO THỊ 4A</t>
  </si>
  <si>
    <t>BẢO THỊ 5</t>
  </si>
  <si>
    <t>BẢO THỊ 5A</t>
  </si>
  <si>
    <t>BẢO THỊ 6</t>
  </si>
  <si>
    <t>BẢO THỊ 6A</t>
  </si>
  <si>
    <t>BẢO THỊ 7</t>
  </si>
  <si>
    <t>BẢO THỊ 8</t>
  </si>
  <si>
    <t>BÀU CỐI 1</t>
  </si>
  <si>
    <t>BÀU CỐI 2</t>
  </si>
  <si>
    <t>BÀU CỐI 2A</t>
  </si>
  <si>
    <t>BÀU CỐI 2B</t>
  </si>
  <si>
    <t>BÀU CỐI 3</t>
  </si>
  <si>
    <t>BÀU CỐI 3A</t>
  </si>
  <si>
    <t>BÀU SEN 1</t>
  </si>
  <si>
    <t>BÀU SEN 1A</t>
  </si>
  <si>
    <t>BÀU SEN 2</t>
  </si>
  <si>
    <t>BÀU SEN 3</t>
  </si>
  <si>
    <t>BÀU SEN 3A</t>
  </si>
  <si>
    <t>BÀU SEN 4</t>
  </si>
  <si>
    <t>BÀU SEN 5</t>
  </si>
  <si>
    <t>BÀU SEN 6</t>
  </si>
  <si>
    <t>BÀU SEN 6A</t>
  </si>
  <si>
    <t>BÀU SEN 7</t>
  </si>
  <si>
    <t>BÀU SÌNH 1</t>
  </si>
  <si>
    <t>BÀU SÌNH 1A</t>
  </si>
  <si>
    <t>BÀU SÌNH 1B</t>
  </si>
  <si>
    <t>BÀU SÌNH 1C</t>
  </si>
  <si>
    <t>BÀU SÌNH 2</t>
  </si>
  <si>
    <t>BÀU SÌNH 2A</t>
  </si>
  <si>
    <t>BÀU SÌNH 3</t>
  </si>
  <si>
    <t>BÀU SÌNH 3A</t>
  </si>
  <si>
    <t>BÀU SÌNH 3B</t>
  </si>
  <si>
    <t>BÀU SÌNH 3C</t>
  </si>
  <si>
    <t>BÀU SÌNH 3D</t>
  </si>
  <si>
    <t>BÀU SÌNH 4</t>
  </si>
  <si>
    <t>BÀU SÌNH 5</t>
  </si>
  <si>
    <t>BÀU SÌNH 5A</t>
  </si>
  <si>
    <t>BÀU SÌNH 6</t>
  </si>
  <si>
    <t>BÀU SÌNH 7</t>
  </si>
  <si>
    <t>BÀU SÌNH 8</t>
  </si>
  <si>
    <t>BÀU SÌNH 8A</t>
  </si>
  <si>
    <t>BẾN ĐÒ</t>
  </si>
  <si>
    <t>BÌNH HÒA</t>
  </si>
  <si>
    <t>BÌNH HÒA A</t>
  </si>
  <si>
    <t>BÌNH MINH 2</t>
  </si>
  <si>
    <t>BÌNH MINH 2A</t>
  </si>
  <si>
    <t>BÌNH MINH 2B</t>
  </si>
  <si>
    <t>BÌNH MINH 3</t>
  </si>
  <si>
    <t>BÌNH MINH 3A</t>
  </si>
  <si>
    <t>BÌNH MINH 3B</t>
  </si>
  <si>
    <t>BÌNH TÂN</t>
  </si>
  <si>
    <t>BÌNH TÂN 1</t>
  </si>
  <si>
    <t>BÌNH TÂN 1A</t>
  </si>
  <si>
    <t>BÌNH TÂN 2</t>
  </si>
  <si>
    <t>BÌNH TÂN 2A</t>
  </si>
  <si>
    <t>BÌNH TÂN 3A</t>
  </si>
  <si>
    <t>BÌNH TÂN A</t>
  </si>
  <si>
    <t>BÌNH TÂN B</t>
  </si>
  <si>
    <t>BÌNH TÂN C</t>
  </si>
  <si>
    <t>BÌNH TIẾN 1</t>
  </si>
  <si>
    <t>BÌNH TIẾN 2</t>
  </si>
  <si>
    <t>BÌNH TIẾN 3</t>
  </si>
  <si>
    <t>BÌNH TIẾN 3A</t>
  </si>
  <si>
    <t>BÌNH TIẾN 3B</t>
  </si>
  <si>
    <t>BÌNH TIẾN 3C</t>
  </si>
  <si>
    <t>BÌNH TIẾN 4</t>
  </si>
  <si>
    <t>BÌNH TIẾN 4A</t>
  </si>
  <si>
    <t>BÌNH TIẾN 5</t>
  </si>
  <si>
    <t>BÌNH TIẾN 6</t>
  </si>
  <si>
    <t>BÌNH TIẾN 7</t>
  </si>
  <si>
    <t>BÌNH TIẾN 8</t>
  </si>
  <si>
    <t>BÌNH TIẾN 9</t>
  </si>
  <si>
    <t>BÌNH XUÂN 1</t>
  </si>
  <si>
    <t>BÌNH XUÂN 1A</t>
  </si>
  <si>
    <t>BÌNH XUÂN 2</t>
  </si>
  <si>
    <t>BÌNH XUÂN 2A</t>
  </si>
  <si>
    <t>BÌNH XUÂN 3</t>
  </si>
  <si>
    <t>BƯNG CẦN 1</t>
  </si>
  <si>
    <t>CÁNH ĐỒNG CÂY ME 1</t>
  </si>
  <si>
    <t>CÁNH ĐỒNG CÂY ME 1A</t>
  </si>
  <si>
    <t>CÁNH ĐỒNG CÂY ME 2</t>
  </si>
  <si>
    <t>CÁNH ĐỒNG CÂY ME 2A</t>
  </si>
  <si>
    <t>CÁNH ĐỒNG ĐÔNG MINH</t>
  </si>
  <si>
    <t>CÁNH ĐỒNG ĐÔNG MINH A</t>
  </si>
  <si>
    <t>CÁNH ĐỒNG LANG MINH</t>
  </si>
  <si>
    <t>CÁNH ĐỒNG MÍA XUÂN BẮC</t>
  </si>
  <si>
    <t>CÁNH ĐỒNG MU RÙA</t>
  </si>
  <si>
    <t>CÁNH ĐỒNG SUỐI CÁT</t>
  </si>
  <si>
    <t>CÁNH ĐỒNG THỌ CHÁNH 2</t>
  </si>
  <si>
    <t>CÁNH ĐỒNG THỌ CHÁNH 3</t>
  </si>
  <si>
    <t>CÁNH ĐỒNG THỌ CHÁNH 4</t>
  </si>
  <si>
    <t>CÁNH ĐỒNG THỌ CHÁNH 4A</t>
  </si>
  <si>
    <t>CÁNH ĐỒNG THỌ CHÁNH 6</t>
  </si>
  <si>
    <t>CÁNH ĐỒNG XUÂN TÂM</t>
  </si>
  <si>
    <t>CÂY DA</t>
  </si>
  <si>
    <t>CÂY DA 1</t>
  </si>
  <si>
    <t>CÂY DA 1A</t>
  </si>
  <si>
    <t>CÂY DA 1B</t>
  </si>
  <si>
    <t>CLB RAU SUỐI CÁT</t>
  </si>
  <si>
    <t>CLB THANH LONG XUÂN HƯNG</t>
  </si>
  <si>
    <t>CLB XOÀI PHƯỢNG VỸ</t>
  </si>
  <si>
    <t>CLB XOÀI XUÂN BẮC 1</t>
  </si>
  <si>
    <t>CLB XOÀI XUÂN BẮC A</t>
  </si>
  <si>
    <t>CLB XUÂN TIẾN</t>
  </si>
  <si>
    <t>CLB XUÂN TIẾN 1A</t>
  </si>
  <si>
    <t>CLB XUÂN TIẾN 2</t>
  </si>
  <si>
    <t>CỌ DẦU 1</t>
  </si>
  <si>
    <t>CỌ DẦU 1A</t>
  </si>
  <si>
    <t>CỌ DẦU 1B</t>
  </si>
  <si>
    <t>CỌ DẦU 2</t>
  </si>
  <si>
    <t>CỌ DẦU 2A</t>
  </si>
  <si>
    <t>CỌ DẦU 3</t>
  </si>
  <si>
    <t>CỌ DẦU 3A</t>
  </si>
  <si>
    <t>CỌ DẦU 3B</t>
  </si>
  <si>
    <t>CHÀ RANG 1</t>
  </si>
  <si>
    <t>CHÀ RANG 2</t>
  </si>
  <si>
    <t>CHÀ RANG 3</t>
  </si>
  <si>
    <t>CHÀ RANG 4</t>
  </si>
  <si>
    <t>CHÀ RANG 6</t>
  </si>
  <si>
    <t>CHIẾN THẮNG 1</t>
  </si>
  <si>
    <t>CHIẾN THẮNG 10</t>
  </si>
  <si>
    <t>CHIẾN THẮNG 10A</t>
  </si>
  <si>
    <t>CHIẾN THẮNG 10B</t>
  </si>
  <si>
    <t>CHIẾN THẮNG 10C</t>
  </si>
  <si>
    <t>CHIẾN THẮNG 1A</t>
  </si>
  <si>
    <t>CHIẾN THẮNG 2</t>
  </si>
  <si>
    <t>CHIẾN THẮNG 2A</t>
  </si>
  <si>
    <t>CHIẾN THẮNG 3</t>
  </si>
  <si>
    <t>CHIẾN THẮNG 3A</t>
  </si>
  <si>
    <t>CHIẾN THẮNG 3B</t>
  </si>
  <si>
    <t>CHIẾN THẮNG 3C</t>
  </si>
  <si>
    <t>CHIẾN THẮNG 3D</t>
  </si>
  <si>
    <t>CHIẾN THẮNG 4</t>
  </si>
  <si>
    <t>CHIẾN THẮNG 5</t>
  </si>
  <si>
    <t>CHIẾN THẮNG 5A</t>
  </si>
  <si>
    <t>CHIẾN THẮNG 6</t>
  </si>
  <si>
    <t>CHIẾN THẮNG 7</t>
  </si>
  <si>
    <t>CHIẾN THẮNG 8</t>
  </si>
  <si>
    <t>CHIẾN THẮNG 9</t>
  </si>
  <si>
    <t>CHIẾN THẮNG 9A</t>
  </si>
  <si>
    <t>CHIẾN THẮNG A</t>
  </si>
  <si>
    <t>CHIẾN THẮNG B</t>
  </si>
  <si>
    <t>CHỢ GIA RAY</t>
  </si>
  <si>
    <t>CHỢ GIA RAY A</t>
  </si>
  <si>
    <t>CHỢ GIA RAY B</t>
  </si>
  <si>
    <t>CHỢ GIA RAY C</t>
  </si>
  <si>
    <t>CHỢ SUỐI CÁT</t>
  </si>
  <si>
    <t>CHỢ XUÂN ĐỊNH</t>
  </si>
  <si>
    <t>CHỢ XUÂN ĐỊNH A</t>
  </si>
  <si>
    <t>CHỢ XUÂN ĐỊNH B</t>
  </si>
  <si>
    <t>ĐỒI ĐÁ 1</t>
  </si>
  <si>
    <t>ĐỒI ĐÁ 2</t>
  </si>
  <si>
    <t>ĐỒI ĐÁ 3</t>
  </si>
  <si>
    <t>ĐỒI GIA MĂNG</t>
  </si>
  <si>
    <t>ĐÔNG MINH 1</t>
  </si>
  <si>
    <t>ĐÔNG MINH 10</t>
  </si>
  <si>
    <t>ĐÔNG MINH 10A</t>
  </si>
  <si>
    <t>ĐÔNG MINH 11</t>
  </si>
  <si>
    <t>ĐÔNG MINH 11A</t>
  </si>
  <si>
    <t>ĐÔNG MINH 12</t>
  </si>
  <si>
    <t>ĐÔNG MINH 1A</t>
  </si>
  <si>
    <t>ĐÔNG MINH 1B</t>
  </si>
  <si>
    <t>ĐÔNG MINH 2</t>
  </si>
  <si>
    <t>ĐÔNG MINH 2A</t>
  </si>
  <si>
    <t>ĐÔNG MINH 2B</t>
  </si>
  <si>
    <t>ĐÔNG MINH 2C</t>
  </si>
  <si>
    <t>ĐÔNG MINH 3</t>
  </si>
  <si>
    <t>ĐÔNG MINH 4</t>
  </si>
  <si>
    <t>ĐÔNG MINH 5A</t>
  </si>
  <si>
    <t>ĐÔNG MINH 5B</t>
  </si>
  <si>
    <t>ĐÔNG MINH 5C</t>
  </si>
  <si>
    <t>ĐÔNG MINH 6</t>
  </si>
  <si>
    <t>ĐÔNG MINH 7</t>
  </si>
  <si>
    <t>ĐÔNG MINH 7A</t>
  </si>
  <si>
    <t>ĐÔNG MINH 7B</t>
  </si>
  <si>
    <t>ĐÔNG MINH 8</t>
  </si>
  <si>
    <t>ĐÔNG MINH 8A</t>
  </si>
  <si>
    <t>ĐÔNG MINH 9</t>
  </si>
  <si>
    <t>ĐƯỜNG BE 79-1</t>
  </si>
  <si>
    <t>ĐƯỜNG BE 79A</t>
  </si>
  <si>
    <t>GIA HÒA</t>
  </si>
  <si>
    <t>GIA HÒA A</t>
  </si>
  <si>
    <t>GIA HÒA B</t>
  </si>
  <si>
    <t>GIA LÀO</t>
  </si>
  <si>
    <t>GIA LÀO 1</t>
  </si>
  <si>
    <t>GIA LÀO 1A</t>
  </si>
  <si>
    <t>GIA LÀO 2</t>
  </si>
  <si>
    <t>GIA LÀO 2A</t>
  </si>
  <si>
    <t>GIA LÀO 2B</t>
  </si>
  <si>
    <t>GIA LÀO 2C</t>
  </si>
  <si>
    <t>GIA LÀO 3</t>
  </si>
  <si>
    <t>GIA LÀO 3A</t>
  </si>
  <si>
    <t>GIA LÀO 3B</t>
  </si>
  <si>
    <t>GIA LÀO 3C</t>
  </si>
  <si>
    <t>GIA LÀO 4</t>
  </si>
  <si>
    <t>GIA LÀO 4A</t>
  </si>
  <si>
    <t>GIA LÀO 4B</t>
  </si>
  <si>
    <t>GIA LÀO 5</t>
  </si>
  <si>
    <t>GIA LÀO 5A</t>
  </si>
  <si>
    <t>GIA LÀO 5B</t>
  </si>
  <si>
    <t>GIA LÀO 5C</t>
  </si>
  <si>
    <t>GIA LÀO 7</t>
  </si>
  <si>
    <t>GIA LÀO 7A</t>
  </si>
  <si>
    <t>GIA LÀO 8</t>
  </si>
  <si>
    <t>GIA LÀO 8A</t>
  </si>
  <si>
    <t>GIA LÀO 8B</t>
  </si>
  <si>
    <t>GIA LÀO 8C</t>
  </si>
  <si>
    <t>GIA LÀO 9</t>
  </si>
  <si>
    <t>GIA LÀO A</t>
  </si>
  <si>
    <t>GIA RAY 1</t>
  </si>
  <si>
    <t>GIA RAY 1A</t>
  </si>
  <si>
    <t>GIA RAY 1B</t>
  </si>
  <si>
    <t>GIA RAY 2</t>
  </si>
  <si>
    <t>GIA RAY 2A</t>
  </si>
  <si>
    <t>GIA RAY 2C</t>
  </si>
  <si>
    <t>GIA RAY 2D</t>
  </si>
  <si>
    <t>GIA RAY 3</t>
  </si>
  <si>
    <t>GIA RAY 3A</t>
  </si>
  <si>
    <t>GIA RAY 4</t>
  </si>
  <si>
    <t>GIA RAY 4A</t>
  </si>
  <si>
    <t>GIA RAY 5</t>
  </si>
  <si>
    <t>GIA RAY 50</t>
  </si>
  <si>
    <t>GIA RAY 50A</t>
  </si>
  <si>
    <t>GIA RAY 50B</t>
  </si>
  <si>
    <t>GIA RAY 50C</t>
  </si>
  <si>
    <t>GIA RAY 50D</t>
  </si>
  <si>
    <t>GIA RAY 50E</t>
  </si>
  <si>
    <t>GIA RAY 6</t>
  </si>
  <si>
    <t>GIA RAY B</t>
  </si>
  <si>
    <t>GIA RAY C</t>
  </si>
  <si>
    <t>GIA UI</t>
  </si>
  <si>
    <t>GIA UI 1</t>
  </si>
  <si>
    <t>GIA UI 2</t>
  </si>
  <si>
    <t>GIA UI 2A</t>
  </si>
  <si>
    <t>GIÁO XỨ XUÂN BÌNH</t>
  </si>
  <si>
    <t>GIÁO XỨ XUÂN BÌNH A</t>
  </si>
  <si>
    <t>HIỆP TIẾN</t>
  </si>
  <si>
    <t>HIỆP TIẾN 1</t>
  </si>
  <si>
    <t>HÒA BÌNH</t>
  </si>
  <si>
    <t>HÒA HỢP</t>
  </si>
  <si>
    <t>HÒA HỢP A</t>
  </si>
  <si>
    <t>HÒA HỢP B</t>
  </si>
  <si>
    <t>HỘI LÀM VƯỜN 2</t>
  </si>
  <si>
    <t>HỘI LÀM VƯỜN 3</t>
  </si>
  <si>
    <t>HỘI LÀM VƯỜN 4</t>
  </si>
  <si>
    <t>HỘI LÀM VƯỜN 5</t>
  </si>
  <si>
    <t>KHU 7-1</t>
  </si>
  <si>
    <t>KHU 7-1A</t>
  </si>
  <si>
    <t>KHU 7-2</t>
  </si>
  <si>
    <t>KHU 7-3</t>
  </si>
  <si>
    <t>KHU 7-3A</t>
  </si>
  <si>
    <t>KHU C-1</t>
  </si>
  <si>
    <t>LANG MINH</t>
  </si>
  <si>
    <t>LANG MINH 1</t>
  </si>
  <si>
    <t>LANG MINH 1A</t>
  </si>
  <si>
    <t>LANG MINH A</t>
  </si>
  <si>
    <t>LANG MINH B</t>
  </si>
  <si>
    <t>LANG MINH C</t>
  </si>
  <si>
    <t>LANG MINH D</t>
  </si>
  <si>
    <t>LANG MINH E</t>
  </si>
  <si>
    <t>LANG MINH F</t>
  </si>
  <si>
    <t>LANG MINH G</t>
  </si>
  <si>
    <t>LANG MINH H</t>
  </si>
  <si>
    <t>LHNT CAO SU</t>
  </si>
  <si>
    <t>MÃ VÔI 1</t>
  </si>
  <si>
    <t>MÃ VÔI 1A</t>
  </si>
  <si>
    <t>MÃ VÔI 2</t>
  </si>
  <si>
    <t>MÃ VÔI 28</t>
  </si>
  <si>
    <t>MÃ VÔI 2A</t>
  </si>
  <si>
    <t>MÃ VÔI 3</t>
  </si>
  <si>
    <t>MÃ VÔI 3A</t>
  </si>
  <si>
    <t>MÃ VÔI 4</t>
  </si>
  <si>
    <t>MÃ VÔI 43-1</t>
  </si>
  <si>
    <t>MÃ VÔI 43-1A</t>
  </si>
  <si>
    <t>MÃ VÔI 43-2</t>
  </si>
  <si>
    <t>MÃ VÔI 43-2A</t>
  </si>
  <si>
    <t>MÃ VÔI 43-2B</t>
  </si>
  <si>
    <t>MÃ VÔI 5</t>
  </si>
  <si>
    <t>MÃ VÔI 5A</t>
  </si>
  <si>
    <t>MÃ VÔI 6</t>
  </si>
  <si>
    <t>MÃ VÔI 60</t>
  </si>
  <si>
    <t>MÃ VÔI 60A</t>
  </si>
  <si>
    <t>MÃ VÔI 60B</t>
  </si>
  <si>
    <t>MÃ VÔI 62</t>
  </si>
  <si>
    <t>MÃ VÔI 62A</t>
  </si>
  <si>
    <t>MÃ VÔI 6A</t>
  </si>
  <si>
    <t>MINH KHAI 1</t>
  </si>
  <si>
    <t>MINH KHAI 2</t>
  </si>
  <si>
    <t>MINH KHAI 2A</t>
  </si>
  <si>
    <t>MINH KHAI 3</t>
  </si>
  <si>
    <t>NAM ĐÔ 1</t>
  </si>
  <si>
    <t>NAM ĐÔ 2</t>
  </si>
  <si>
    <t>NAM ĐÔ 3</t>
  </si>
  <si>
    <t>NÔNG DOANH</t>
  </si>
  <si>
    <t>NÔNG DOANH 1</t>
  </si>
  <si>
    <t>NÔNG DOANH 1A</t>
  </si>
  <si>
    <t>NÔNG DOANH 2</t>
  </si>
  <si>
    <t>NÔNG DOANH 3</t>
  </si>
  <si>
    <t>NÔNG DOANH A</t>
  </si>
  <si>
    <t>NÔNG DOANH B</t>
  </si>
  <si>
    <t>NÚI LE</t>
  </si>
  <si>
    <t>NÚI LE 1</t>
  </si>
  <si>
    <t>NÚI LE 2</t>
  </si>
  <si>
    <t>NÚI LE 3</t>
  </si>
  <si>
    <t>NÚI LE A</t>
  </si>
  <si>
    <t>NGUYỄN AN NINH</t>
  </si>
  <si>
    <t>NGUYỄN AN TÂM KHÔI</t>
  </si>
  <si>
    <t>NHÀ CÔNG VỤ QUÂN ĐOÀN 4</t>
  </si>
  <si>
    <t>PHẠM VĂN QUANG</t>
  </si>
  <si>
    <t>PHÂN TRƯỜNG 5-1</t>
  </si>
  <si>
    <t>PHÂN TRƯỜNG 5-3</t>
  </si>
  <si>
    <t>PHƯỚC HƯNG</t>
  </si>
  <si>
    <t>PHƯỚC HƯNG 1</t>
  </si>
  <si>
    <t>PHƯỚC HƯNG B</t>
  </si>
  <si>
    <t>PHƯỢNG VỸ 1</t>
  </si>
  <si>
    <t>PHƯỢNG VỸ 2</t>
  </si>
  <si>
    <t>PHƯỢNG VỸ 3</t>
  </si>
  <si>
    <t>QUỐC LỘ 1A-1</t>
  </si>
  <si>
    <t>QUỐC LỘ 1A-2</t>
  </si>
  <si>
    <t>QUỐC LỘ 1A-3</t>
  </si>
  <si>
    <t>QUỐC LỘ 1A-4</t>
  </si>
  <si>
    <t>QUỐC LỘ 1A-5</t>
  </si>
  <si>
    <t>QUỐC LỘ 1A-6</t>
  </si>
  <si>
    <t>SÓC BA BUÔNG 1A</t>
  </si>
  <si>
    <t>SÓC BA BUÔNG 1B</t>
  </si>
  <si>
    <t>SÓC BA BUÔNG 2A</t>
  </si>
  <si>
    <t>SUỐI CAO 1</t>
  </si>
  <si>
    <t>SUỐI CAO 1A</t>
  </si>
  <si>
    <t>SUỐI CAO 2</t>
  </si>
  <si>
    <t>SUỐI CAO 3</t>
  </si>
  <si>
    <t>SUỐI CAO 3A</t>
  </si>
  <si>
    <t>SUỐI CAO 3B</t>
  </si>
  <si>
    <t>SUỐI CAO 3C</t>
  </si>
  <si>
    <t>SUỐI CÁT</t>
  </si>
  <si>
    <t>SUỐI CÁT 1</t>
  </si>
  <si>
    <t>SUỐI CÁT 10</t>
  </si>
  <si>
    <t>SUỐI CÁT 1A</t>
  </si>
  <si>
    <t>SUỐI CÁT 1B</t>
  </si>
  <si>
    <t>SUỐI CÁT 1C</t>
  </si>
  <si>
    <t>SUỐI CÁT 2</t>
  </si>
  <si>
    <t>SUỐI CÁT 2A</t>
  </si>
  <si>
    <t>SUỐI CÁT 3</t>
  </si>
  <si>
    <t>SUỐI CÁT 4</t>
  </si>
  <si>
    <t>SUỐI CÁT 45</t>
  </si>
  <si>
    <t>SUỐI CÁT 45A</t>
  </si>
  <si>
    <t>SUỐI CÁT 5</t>
  </si>
  <si>
    <t>SUỐI CÁT 5A</t>
  </si>
  <si>
    <t>SUỐI CÁT 6</t>
  </si>
  <si>
    <t>SUỐI CÁT 6B</t>
  </si>
  <si>
    <t>SUỐI CÁT 7</t>
  </si>
  <si>
    <t>SUỐI CÁT 8</t>
  </si>
  <si>
    <t>SUỐI CÁT 8A</t>
  </si>
  <si>
    <t>SUỐI CÁT 9</t>
  </si>
  <si>
    <t>SUỐI LẠNH</t>
  </si>
  <si>
    <t>SUỐI LỚN</t>
  </si>
  <si>
    <t>SUỐI LỚN A</t>
  </si>
  <si>
    <t>SUỐI LỚN B</t>
  </si>
  <si>
    <t>SUỐI LỚN C</t>
  </si>
  <si>
    <t>SUỐI RẾT</t>
  </si>
  <si>
    <t>SUỐI RẾT 1</t>
  </si>
  <si>
    <t>SUỐI RẾT 2</t>
  </si>
  <si>
    <t>SUỐI RẾT 2A</t>
  </si>
  <si>
    <t>SUỐI RẾT A</t>
  </si>
  <si>
    <t>SUỐI RẾT B</t>
  </si>
  <si>
    <t>SUỐI RẾT C</t>
  </si>
  <si>
    <t>TÀ LÚ 1</t>
  </si>
  <si>
    <t>TÀ LÚ 1A</t>
  </si>
  <si>
    <t>TÀ LÚ 2</t>
  </si>
  <si>
    <t>TÀ LÚ 2A</t>
  </si>
  <si>
    <t>TÀ LÚ 2B</t>
  </si>
  <si>
    <t>TÀ LÚ 2C</t>
  </si>
  <si>
    <t>TÀ LÚ 3</t>
  </si>
  <si>
    <t>TÀ LÚ 4</t>
  </si>
  <si>
    <t>TAM HIỆP</t>
  </si>
  <si>
    <t>TAM HIỆP 2</t>
  </si>
  <si>
    <t>TAM HIỆP 2A</t>
  </si>
  <si>
    <t>TAM HIỆP 2B</t>
  </si>
  <si>
    <t>TAM HIỆP 2C</t>
  </si>
  <si>
    <t>TAM HIỆP 2D</t>
  </si>
  <si>
    <t>TAM HIỆP 3</t>
  </si>
  <si>
    <t>TAM HIỆP 3A</t>
  </si>
  <si>
    <t>TAM HIỆP 3B</t>
  </si>
  <si>
    <t>TAM HIỆP 3C</t>
  </si>
  <si>
    <t>TAM HIỆP 3D</t>
  </si>
  <si>
    <t>TAM HIỆP 3E</t>
  </si>
  <si>
    <t>TAM HIỆP 3G</t>
  </si>
  <si>
    <t>TAM HIỆP 4</t>
  </si>
  <si>
    <t>TAM HIỆP 5</t>
  </si>
  <si>
    <t>TAM HIỆP 5A</t>
  </si>
  <si>
    <t>TAM HIỆP 5B</t>
  </si>
  <si>
    <t>TAM HIỆP 6</t>
  </si>
  <si>
    <t>TAM HIỆP 7</t>
  </si>
  <si>
    <t>TAM HIỆP 9</t>
  </si>
  <si>
    <t>TAM HIỆP 9A</t>
  </si>
  <si>
    <t>TÂN HƯNG</t>
  </si>
  <si>
    <t>TÂN HỮU 2</t>
  </si>
  <si>
    <t>TÂN HỮU 2A</t>
  </si>
  <si>
    <t>TÂN HỮU 3</t>
  </si>
  <si>
    <t>TÂN HỮU 4</t>
  </si>
  <si>
    <t>TÂN TIẾN</t>
  </si>
  <si>
    <t>TÂN TIẾN 1</t>
  </si>
  <si>
    <t>TÂN TIẾN 1A</t>
  </si>
  <si>
    <t>TÂN TIẾN 1B</t>
  </si>
  <si>
    <t>TÂN TIẾN 4</t>
  </si>
  <si>
    <t>TÂN TIẾN A</t>
  </si>
  <si>
    <t>TÂN TIẾN B</t>
  </si>
  <si>
    <t>TÂN TIẾN C</t>
  </si>
  <si>
    <t>TÂY MINH</t>
  </si>
  <si>
    <t>TÂY MINH 1</t>
  </si>
  <si>
    <t>TÂY MINH 1A</t>
  </si>
  <si>
    <t>TÂY MINH 2</t>
  </si>
  <si>
    <t>TÂY MINH A</t>
  </si>
  <si>
    <t>THÁC TRỜI 1</t>
  </si>
  <si>
    <t>THÁC TRỜI 10</t>
  </si>
  <si>
    <t>THÁC TRỜI 2</t>
  </si>
  <si>
    <t>THÁC TRỜI 3</t>
  </si>
  <si>
    <t>THÁC TRỜI 3A</t>
  </si>
  <si>
    <t>THÁC TRỜI 3B</t>
  </si>
  <si>
    <t>THÁC TRỜI 4</t>
  </si>
  <si>
    <t>THÁC TRỜI 4A</t>
  </si>
  <si>
    <t>THÁC TRỜI 4B</t>
  </si>
  <si>
    <t>THÁC TRỜI 4C</t>
  </si>
  <si>
    <t>THÁC TRỜI 5</t>
  </si>
  <si>
    <t>THÁC TRỜI 5A</t>
  </si>
  <si>
    <t>THÁC TRỜI 6</t>
  </si>
  <si>
    <t>THÁC TRỜI 7</t>
  </si>
  <si>
    <t>THÁC TRỜI 8A</t>
  </si>
  <si>
    <t>THÁI THIỆN</t>
  </si>
  <si>
    <t>THÁI THIỆN 3</t>
  </si>
  <si>
    <t>THÁI XUÂN 1</t>
  </si>
  <si>
    <t>THÁI XUÂN 2</t>
  </si>
  <si>
    <t>THỌ HÒA</t>
  </si>
  <si>
    <t>THỌ HÒA 1</t>
  </si>
  <si>
    <t>THỌ HÒA 1A</t>
  </si>
  <si>
    <t>THỌ HÒA 1B</t>
  </si>
  <si>
    <t>THỌ HÒA 1C</t>
  </si>
  <si>
    <t>THỌ HÒA 1D</t>
  </si>
  <si>
    <t>THỌ LỘC 1</t>
  </si>
  <si>
    <t>THỌ LỘC 1A</t>
  </si>
  <si>
    <t>THỌ LỘC 1B</t>
  </si>
  <si>
    <t>THỌ LỘC 2</t>
  </si>
  <si>
    <t>THỌ LỘC 2A</t>
  </si>
  <si>
    <t>THỌ LỘC 2B</t>
  </si>
  <si>
    <t>THỌ LỘC 2C</t>
  </si>
  <si>
    <t>THỌ LỘC 3</t>
  </si>
  <si>
    <t>THỌ LỘC 3A</t>
  </si>
  <si>
    <t>THỌ LỘC 4</t>
  </si>
  <si>
    <t>THỌ LỘC 4A</t>
  </si>
  <si>
    <t>THỌ LỘC 4B</t>
  </si>
  <si>
    <t>THỌ LỘC 4C</t>
  </si>
  <si>
    <t>THỌ LỘC 5</t>
  </si>
  <si>
    <t>THỌ LỘC 5A</t>
  </si>
  <si>
    <t>THỌ LỘC 5B</t>
  </si>
  <si>
    <t>THỌ LỘC 6</t>
  </si>
  <si>
    <t>THỌ LỘC 6A</t>
  </si>
  <si>
    <t>THỌ LỘC 6B</t>
  </si>
  <si>
    <t>THỌ LỘC 7</t>
  </si>
  <si>
    <t>THỌ PHƯỚC</t>
  </si>
  <si>
    <t>THỌ PHƯỚC A</t>
  </si>
  <si>
    <t>THỌ PHƯỚC B</t>
  </si>
  <si>
    <t>THỌ TÂN 1</t>
  </si>
  <si>
    <t>THỌ TÂN 1A</t>
  </si>
  <si>
    <t>THỌ TÂN 1B</t>
  </si>
  <si>
    <t>THỌ TÂN 2</t>
  </si>
  <si>
    <t>THỌ TÂN 2A</t>
  </si>
  <si>
    <t>THỌ TÂN 2C</t>
  </si>
  <si>
    <t>THỌ TÂN 3</t>
  </si>
  <si>
    <t>THỌ TÂN 3A</t>
  </si>
  <si>
    <t>THỌ TÂN 3B</t>
  </si>
  <si>
    <t>THỌ TÂN 3C</t>
  </si>
  <si>
    <t>THỌ TÂN 4</t>
  </si>
  <si>
    <t>THỌ TÂN 4A</t>
  </si>
  <si>
    <t>THỌ TÂN 5</t>
  </si>
  <si>
    <t>THỌ TÂN 5A</t>
  </si>
  <si>
    <t>THỌ TRUNG 1</t>
  </si>
  <si>
    <t>THỌ TRUNG 1A</t>
  </si>
  <si>
    <t>THỌ TRUNG 1B</t>
  </si>
  <si>
    <t>THỌ TRUNG 1C</t>
  </si>
  <si>
    <t>THỌ TRUNG 2</t>
  </si>
  <si>
    <t>THỌ TRUNG 2A</t>
  </si>
  <si>
    <t>THỌ TRUNG 2B</t>
  </si>
  <si>
    <t>THỌ TRUNG 3</t>
  </si>
  <si>
    <t>THỌ TRUNG 3A</t>
  </si>
  <si>
    <t>THỌ VỰC 1</t>
  </si>
  <si>
    <t>THỌ VỰC 10</t>
  </si>
  <si>
    <t>THỌ VỰC 10A</t>
  </si>
  <si>
    <t>THỌ VỰC 1A</t>
  </si>
  <si>
    <t>THỌ VỰC 1B</t>
  </si>
  <si>
    <t>THỌ VỰC 2</t>
  </si>
  <si>
    <t>THỌ VỰC 2A</t>
  </si>
  <si>
    <t>THỌ VỰC 2B</t>
  </si>
  <si>
    <t>THỌ VỰC 3</t>
  </si>
  <si>
    <t>THỌ VỰC 3A</t>
  </si>
  <si>
    <t>THỌ VỰC 3B</t>
  </si>
  <si>
    <t>THỌ VỰC 4</t>
  </si>
  <si>
    <t>THỌ VỰC 4A</t>
  </si>
  <si>
    <t>THỌ VỰC 4B</t>
  </si>
  <si>
    <t>THỌ VỰC 5</t>
  </si>
  <si>
    <t>THỌ VỰC 5A</t>
  </si>
  <si>
    <t>THỌ VỰC 5B</t>
  </si>
  <si>
    <t>THỌ VỰC 5C</t>
  </si>
  <si>
    <t>THỌ VỰC 6</t>
  </si>
  <si>
    <t>THỌ VỰC 6A</t>
  </si>
  <si>
    <t>THỌ VỰC 6B</t>
  </si>
  <si>
    <t>THỌ VỰC 6C</t>
  </si>
  <si>
    <t>THỌ VỰC 6D</t>
  </si>
  <si>
    <t>THỌ VỰC 6E</t>
  </si>
  <si>
    <t>THỌ VỰC 6F</t>
  </si>
  <si>
    <t>THỌ VỰC 7</t>
  </si>
  <si>
    <t>THỌ VỰC 7A</t>
  </si>
  <si>
    <t>THỌ VỰC 7B</t>
  </si>
  <si>
    <t>THỌ VỰC 7C</t>
  </si>
  <si>
    <t>THỌ VỰC 8</t>
  </si>
  <si>
    <t>THỌ VỰC 8A</t>
  </si>
  <si>
    <t>THỌ VỰC 9</t>
  </si>
  <si>
    <t>THỌ VỰC 9A</t>
  </si>
  <si>
    <t>THỌ VỰC 9B</t>
  </si>
  <si>
    <t>TRẠM XÁ XUÂN ĐỊNH</t>
  </si>
  <si>
    <t>TRẠM XÁ XUÂN ĐỊNH A</t>
  </si>
  <si>
    <t>TRẠM XÁ XUÂN ĐỊNH B</t>
  </si>
  <si>
    <t>TRẢNG MƯỚP</t>
  </si>
  <si>
    <t>TRẢNG TÁO 1</t>
  </si>
  <si>
    <t>TRẢNG TÁO 1A</t>
  </si>
  <si>
    <t>TRẢNG TÁO 1B</t>
  </si>
  <si>
    <t>TRẢNG TÁO 1C</t>
  </si>
  <si>
    <t>TRẢNG TÁO 1D</t>
  </si>
  <si>
    <t>TRẢNG TÁO 1E</t>
  </si>
  <si>
    <t>TRẢNG TÁO 2</t>
  </si>
  <si>
    <t>TRẢNG TÁO 2A</t>
  </si>
  <si>
    <t>TRẢNG TÁO 2B</t>
  </si>
  <si>
    <t>TRẢNG TÁO 3</t>
  </si>
  <si>
    <t>TRẢNG TÁO 4</t>
  </si>
  <si>
    <t>TRẢNG TÁO 4A</t>
  </si>
  <si>
    <t>TRẢNG TÁO 4B</t>
  </si>
  <si>
    <t>TRẢNG TÁO 5</t>
  </si>
  <si>
    <t>TRẢNG TÁO 5A</t>
  </si>
  <si>
    <t>TRẢNG TÁO 6-1</t>
  </si>
  <si>
    <t>TRẢNG TÁO 6-1A</t>
  </si>
  <si>
    <t>TRẢNG TÁO 6-2</t>
  </si>
  <si>
    <t>TRẢNG TÁO 7</t>
  </si>
  <si>
    <t>TRẢNG TÁO 8-1</t>
  </si>
  <si>
    <t>TRẢNG TÁO 8-2</t>
  </si>
  <si>
    <t>TRUNG HƯNG 1</t>
  </si>
  <si>
    <t>TRUNG HƯNG 1A</t>
  </si>
  <si>
    <t>TRUNG HƯNG 2</t>
  </si>
  <si>
    <t>TRUNG HƯNG 2A</t>
  </si>
  <si>
    <t>TRUNG HƯNG 3</t>
  </si>
  <si>
    <t>TRUNG HƯNG 4</t>
  </si>
  <si>
    <t>TRUNG HƯNG 4A</t>
  </si>
  <si>
    <t>TRUNG HƯNG 4B</t>
  </si>
  <si>
    <t>TRUNG HƯNG 5</t>
  </si>
  <si>
    <t>TRUNG HƯNG 5A</t>
  </si>
  <si>
    <t>TRUNG HƯNG 6</t>
  </si>
  <si>
    <t>TRUNG HƯNG 7</t>
  </si>
  <si>
    <t>TRUNG HƯNG 8</t>
  </si>
  <si>
    <t>TRUNG SƠN 1</t>
  </si>
  <si>
    <t>TRUNG SƠN 1A</t>
  </si>
  <si>
    <t>TRUNG SƠN 2</t>
  </si>
  <si>
    <t>TRUNG SƠN 2A</t>
  </si>
  <si>
    <t>TRUNG SƠN 2B</t>
  </si>
  <si>
    <t>TRUNG SƠN 3</t>
  </si>
  <si>
    <t>TRUNG SƠN 4</t>
  </si>
  <si>
    <t>TRUNG TÍN</t>
  </si>
  <si>
    <t>TRUNG TÍN A</t>
  </si>
  <si>
    <t>VIỆT KIỀU 1</t>
  </si>
  <si>
    <t>VIỆT KIỀU 141</t>
  </si>
  <si>
    <t>VIỆT KIỀU 141A</t>
  </si>
  <si>
    <t>VIỆT KIỀU 141B</t>
  </si>
  <si>
    <t>VIỆT KIỀU 1A</t>
  </si>
  <si>
    <t>VIỆT KIỀU 2A</t>
  </si>
  <si>
    <t>VIỆT KIỀU 3</t>
  </si>
  <si>
    <t>VIỆT KIỀU 3A</t>
  </si>
  <si>
    <t>VƯỜN XOÀI</t>
  </si>
  <si>
    <t>VƯỜN XOÀI 1</t>
  </si>
  <si>
    <t>XUÂN BẮC 1</t>
  </si>
  <si>
    <t>XUÂN BẮC 10</t>
  </si>
  <si>
    <t>XUÂN BẮC 10A</t>
  </si>
  <si>
    <t>XUÂN BẮC 10B</t>
  </si>
  <si>
    <t>XUÂN BẮC 10C</t>
  </si>
  <si>
    <t>XUÂN BẮC 11</t>
  </si>
  <si>
    <t>XUÂN BẮC 11A</t>
  </si>
  <si>
    <t>XUÂN BẮC 11B</t>
  </si>
  <si>
    <t>XUÂN BẮC 11D</t>
  </si>
  <si>
    <t>XUÂN BẮC 12</t>
  </si>
  <si>
    <t>XUÂN BẮC 12A</t>
  </si>
  <si>
    <t>XUÂN BẮC 12B</t>
  </si>
  <si>
    <t>XUÂN BẮC 12C</t>
  </si>
  <si>
    <t>XUÂN BẮC 13</t>
  </si>
  <si>
    <t>XUÂN BẮC 13A</t>
  </si>
  <si>
    <t>XUÂN BẮC 13B</t>
  </si>
  <si>
    <t>XUÂN BẮC 14</t>
  </si>
  <si>
    <t>XUÂN BẮC 15</t>
  </si>
  <si>
    <t>XUÂN BẮC 16</t>
  </si>
  <si>
    <t>XUÂN BẮC 16A</t>
  </si>
  <si>
    <t>XUÂN BẮC 17</t>
  </si>
  <si>
    <t>XUÂN BẮC 18</t>
  </si>
  <si>
    <t>XUÂN BẮC 18A</t>
  </si>
  <si>
    <t>XUÂN BẮC 18B</t>
  </si>
  <si>
    <t>XUÂN BẮC 18C</t>
  </si>
  <si>
    <t>XUÂN BẮC 19A</t>
  </si>
  <si>
    <t>XUÂN BẮC 19B</t>
  </si>
  <si>
    <t>XUÂN BẮC 1A</t>
  </si>
  <si>
    <t>XUÂN BẮC 2</t>
  </si>
  <si>
    <t>XUÂN BẮC 2A</t>
  </si>
  <si>
    <t>XUÂN BẮC 3</t>
  </si>
  <si>
    <t>XUÂN BẮC 3A</t>
  </si>
  <si>
    <t>XUÂN BẮC 4</t>
  </si>
  <si>
    <t>XUÂN BẮC 4A</t>
  </si>
  <si>
    <t>XUÂN BẮC 5</t>
  </si>
  <si>
    <t>XUÂN BẮC 5A</t>
  </si>
  <si>
    <t>XUÂN BẮC 5B</t>
  </si>
  <si>
    <t>XUÂN BẮC 5C</t>
  </si>
  <si>
    <t>XUÂN BẮC 6</t>
  </si>
  <si>
    <t>XUÂN BẮC 6A</t>
  </si>
  <si>
    <t>XUÂN BẮC 6B</t>
  </si>
  <si>
    <t>XUÂN BẮC 6C</t>
  </si>
  <si>
    <t>XUÂN BẮC 6D</t>
  </si>
  <si>
    <t>XUÂN BẮC 7</t>
  </si>
  <si>
    <t>XUÂN BẮC 7A</t>
  </si>
  <si>
    <t>XUÂN BẮC 7B</t>
  </si>
  <si>
    <t>XUÂN BẮC 8</t>
  </si>
  <si>
    <t>XUÂN BẮC 8A</t>
  </si>
  <si>
    <t>XUÂN BẮC 8B</t>
  </si>
  <si>
    <t>XUÂN BẮC 8C</t>
  </si>
  <si>
    <t>XUÂN BẮC 8D</t>
  </si>
  <si>
    <t>XUÂN BẮC 9</t>
  </si>
  <si>
    <t>XUÂN ĐỊNH 2</t>
  </si>
  <si>
    <t>XUÂN ĐỊNH 2A</t>
  </si>
  <si>
    <t>XUÂN ĐỊNH 3</t>
  </si>
  <si>
    <t>XUÂN ĐỊNH 3A</t>
  </si>
  <si>
    <t>XUÂN ĐỊNH 4</t>
  </si>
  <si>
    <t>XUÂN ĐỊNH 5</t>
  </si>
  <si>
    <t>XUÂN ĐỊNH 5A</t>
  </si>
  <si>
    <t>XUÂN HIỆP 1</t>
  </si>
  <si>
    <t>XUÂN HIỆP 2A</t>
  </si>
  <si>
    <t>XUÂN HIỆP 2B</t>
  </si>
  <si>
    <t>XUÂN HÒA 1</t>
  </si>
  <si>
    <t>XUÂN HÒA 10</t>
  </si>
  <si>
    <t>XUÂN HÒA 11</t>
  </si>
  <si>
    <t>XUÂN HÒA 12</t>
  </si>
  <si>
    <t>XUÂN HÒA 1A</t>
  </si>
  <si>
    <t>XUÂN HÒA 2</t>
  </si>
  <si>
    <t>XUÂN HÒA 3</t>
  </si>
  <si>
    <t>XUÂN HÒA 3A</t>
  </si>
  <si>
    <t>XUÂN HÒA 3B</t>
  </si>
  <si>
    <t>XUÂN HÒA 3C</t>
  </si>
  <si>
    <t>XUÂN HÒA 3D</t>
  </si>
  <si>
    <t>XUÂN HÒA 3E</t>
  </si>
  <si>
    <t>XUÂN HÒA 4</t>
  </si>
  <si>
    <t>XUÂN HÒA 5</t>
  </si>
  <si>
    <t>XUÂN HÒA 5A</t>
  </si>
  <si>
    <t>XUÂN HÒA 5B</t>
  </si>
  <si>
    <t>XUÂN HÒA 5C</t>
  </si>
  <si>
    <t>XUÂN HÒA 5D</t>
  </si>
  <si>
    <t>XUÂN HÒA 5E</t>
  </si>
  <si>
    <t>XUÂN HÒA 6</t>
  </si>
  <si>
    <t>XUÂN HÒA 7</t>
  </si>
  <si>
    <t>XUÂN HÒA 7A</t>
  </si>
  <si>
    <t>XUÂN HÒA 7B</t>
  </si>
  <si>
    <t>XUÂN HÒA 8</t>
  </si>
  <si>
    <t>XUÂN HÒA 8A</t>
  </si>
  <si>
    <t>XUÂN HÒA 9</t>
  </si>
  <si>
    <t>XUÂN HƯNG 1</t>
  </si>
  <si>
    <t>XUÂN HƯNG 10</t>
  </si>
  <si>
    <t>XUÂN HƯNG 11</t>
  </si>
  <si>
    <t>XUÂN HƯNG 11A</t>
  </si>
  <si>
    <t>XUÂN HƯNG 12</t>
  </si>
  <si>
    <t>XUÂN HƯNG 12A</t>
  </si>
  <si>
    <t>XUÂN HƯNG 12B</t>
  </si>
  <si>
    <t>XUÂN HƯNG 13</t>
  </si>
  <si>
    <t>XUÂN HƯNG 13A</t>
  </si>
  <si>
    <t>XUÂN HƯNG 13B</t>
  </si>
  <si>
    <t>XUÂN HƯNG 13C</t>
  </si>
  <si>
    <t>XUÂN HƯNG 13D</t>
  </si>
  <si>
    <t>XUÂN HƯNG 15</t>
  </si>
  <si>
    <t>XUÂN HƯNG 16</t>
  </si>
  <si>
    <t>XUÂN HƯNG 1A</t>
  </si>
  <si>
    <t>XUÂN HƯNG 2</t>
  </si>
  <si>
    <t>XUÂN HƯNG 2A</t>
  </si>
  <si>
    <t>XUÂN HƯNG 2B</t>
  </si>
  <si>
    <t>XUÂN HƯNG 2C</t>
  </si>
  <si>
    <t>XUÂN HƯNG 3</t>
  </si>
  <si>
    <t>XUÂN HƯNG 3A</t>
  </si>
  <si>
    <t>XUÂN HƯNG 4</t>
  </si>
  <si>
    <t>XUÂN HƯNG 4A</t>
  </si>
  <si>
    <t>XUÂN HƯNG 4B</t>
  </si>
  <si>
    <t>XUÂN HƯNG 4C</t>
  </si>
  <si>
    <t>XUÂN HƯNG 5</t>
  </si>
  <si>
    <t>XUÂN HƯNG 5A</t>
  </si>
  <si>
    <t>XUÂN HƯNG 5B</t>
  </si>
  <si>
    <t>XUÂN HƯNG 6</t>
  </si>
  <si>
    <t>XUÂN HƯNG 7</t>
  </si>
  <si>
    <t>XUÂN HƯNG 7A</t>
  </si>
  <si>
    <t>XUÂN HƯNG 8</t>
  </si>
  <si>
    <t>XUÂN HƯNG 8A</t>
  </si>
  <si>
    <t>XUÂN HƯNG 9</t>
  </si>
  <si>
    <t>XUÂN PHÚ 1</t>
  </si>
  <si>
    <t>XUÂN PHÚ 10</t>
  </si>
  <si>
    <t>XUÂN PHÚ 10A</t>
  </si>
  <si>
    <t>XUÂN PHÚ 11</t>
  </si>
  <si>
    <t>XUÂN PHÚ 1A</t>
  </si>
  <si>
    <t>XUÂN PHÚ 1B</t>
  </si>
  <si>
    <t>XUÂN PHÚ 2</t>
  </si>
  <si>
    <t>XUÂN PHÚ 3</t>
  </si>
  <si>
    <t>XUÂN PHÚ 3A</t>
  </si>
  <si>
    <t>XUÂN PHÚ 3B</t>
  </si>
  <si>
    <t>XUÂN PHÚ 3C</t>
  </si>
  <si>
    <t>XUÂN PHÚ 4</t>
  </si>
  <si>
    <t>XUÂN PHÚ 4A</t>
  </si>
  <si>
    <t>XUÂN PHÚ 4B</t>
  </si>
  <si>
    <t>XUÂN PHÚ 4C</t>
  </si>
  <si>
    <t>XUÂN PHÚ 4D</t>
  </si>
  <si>
    <t>XUÂN PHÚ 4E</t>
  </si>
  <si>
    <t>XUÂN PHÚ 4F</t>
  </si>
  <si>
    <t>XUÂN PHÚ 5</t>
  </si>
  <si>
    <t>XUÂN PHÚ 5A</t>
  </si>
  <si>
    <t>XUÂN PHÚ 5B</t>
  </si>
  <si>
    <t>XUÂN PHÚ 6</t>
  </si>
  <si>
    <t>XUÂN PHÚ 6A</t>
  </si>
  <si>
    <t>XUÂN PHÚ 7</t>
  </si>
  <si>
    <t>XUÂN PHÚ 7A</t>
  </si>
  <si>
    <t>XUÂN PHÚ 8</t>
  </si>
  <si>
    <t>XUÂN PHÚ 8A</t>
  </si>
  <si>
    <t>XUÂN PHÚ 8B</t>
  </si>
  <si>
    <t>XUÂN PHÚ 9</t>
  </si>
  <si>
    <t>XUÂN PHÚ 9A</t>
  </si>
  <si>
    <t>XUÂN PHÚ 9B</t>
  </si>
  <si>
    <t>XUÂN TÂM 1</t>
  </si>
  <si>
    <t>XUÂN TÂM 1A</t>
  </si>
  <si>
    <t>XUÂN TÂM 1B</t>
  </si>
  <si>
    <t>XUÂN TÂM 2</t>
  </si>
  <si>
    <t>XUÂN TÂM 2A</t>
  </si>
  <si>
    <t>XUÂN TÂM 2B</t>
  </si>
  <si>
    <t>XUÂN TÂM 2C</t>
  </si>
  <si>
    <t>XUÂN TÂM 3</t>
  </si>
  <si>
    <t>XUÂN TÂM 3A</t>
  </si>
  <si>
    <t>XUÂN TÂM 3B</t>
  </si>
  <si>
    <t>XUÂN TÂM 3C</t>
  </si>
  <si>
    <t>XUÂN TÂM 4</t>
  </si>
  <si>
    <t>XUÂN TÂM 4A</t>
  </si>
  <si>
    <t>XUÂN TÂM 4B</t>
  </si>
  <si>
    <t>XUÂN TÂM 4C</t>
  </si>
  <si>
    <t>XUÂN TÂM 4D</t>
  </si>
  <si>
    <t>XUÂN TÂM 4E</t>
  </si>
  <si>
    <t>XUÂN TÂM 4F</t>
  </si>
  <si>
    <t>XUÂN TÂM 4G</t>
  </si>
  <si>
    <t>XUÂN TÂM 4H</t>
  </si>
  <si>
    <t>XUÂN TÂM 4I</t>
  </si>
  <si>
    <t>XUÂN TÂM 5</t>
  </si>
  <si>
    <t>XUÂN TÂM 5A</t>
  </si>
  <si>
    <t>XUÂN TÂM 5B</t>
  </si>
  <si>
    <t>XUÂN TÂM 5C</t>
  </si>
  <si>
    <t>XUÂN TÂM 5D</t>
  </si>
  <si>
    <t>XUÂN TÂM 5E</t>
  </si>
  <si>
    <t>XUÂN TÂM 5F</t>
  </si>
  <si>
    <t>XUÂN TÂM 5G</t>
  </si>
  <si>
    <t>XUÂN TÂM 5H</t>
  </si>
  <si>
    <t>XUÂN TÂM 6</t>
  </si>
  <si>
    <t>XUÂN TÂM 6A</t>
  </si>
  <si>
    <t>XUÂN TÂM 6B</t>
  </si>
  <si>
    <t>XUÂN TÂM 6C</t>
  </si>
  <si>
    <t>XUÂN TÂM 6D</t>
  </si>
  <si>
    <t>XUÂN TÂM 6E</t>
  </si>
  <si>
    <t>XUÂN TÂM 6F</t>
  </si>
  <si>
    <t>XUÂN TÂM 7</t>
  </si>
  <si>
    <t>XUÂN TÂM 7A</t>
  </si>
  <si>
    <t>XUÂN TÂM 7B</t>
  </si>
  <si>
    <t>XUÂN TÂM 7C</t>
  </si>
  <si>
    <t>XUÂN TÂM 7D</t>
  </si>
  <si>
    <t>XUÂN THÀNH 1</t>
  </si>
  <si>
    <t>XUÂN THÀNH 1A</t>
  </si>
  <si>
    <t>XUÂN THÀNH 1B</t>
  </si>
  <si>
    <t>XUÂN THÀNH 1C</t>
  </si>
  <si>
    <t>XUÂN THÀNH 2</t>
  </si>
  <si>
    <t>XUÂN THÀNH 2A</t>
  </si>
  <si>
    <t>XUÂN THÀNH 2B</t>
  </si>
  <si>
    <t>XUÂN THÀNH 2C</t>
  </si>
  <si>
    <t>XUÂN THÀNH 2D</t>
  </si>
  <si>
    <t>XUÂN THÀNH 2E</t>
  </si>
  <si>
    <t>XUÂN THÀNH 3</t>
  </si>
  <si>
    <t>XUÂN THÀNH 3A</t>
  </si>
  <si>
    <t>XUÂN THÀNH 3B</t>
  </si>
  <si>
    <t>XUÂN THÀNH 4</t>
  </si>
  <si>
    <t>XUÂN THÀNH 4A</t>
  </si>
  <si>
    <t>XUÂN THÀNH 4B</t>
  </si>
  <si>
    <t>XUÂN THÀNH 5</t>
  </si>
  <si>
    <t>XUÂN THÀNH 5A</t>
  </si>
  <si>
    <t>XUÂN THÀNH 6</t>
  </si>
  <si>
    <t>XUÂN THÀNH 7</t>
  </si>
  <si>
    <t>XUÂN THÀNH 8</t>
  </si>
  <si>
    <t>XUÂN THÀNH 8A</t>
  </si>
  <si>
    <t>XUÂN THÀNH 8B</t>
  </si>
  <si>
    <t>XUÂN TRƯỜNG 1</t>
  </si>
  <si>
    <t>XUÂN TRƯỜNG 102</t>
  </si>
  <si>
    <t>XUÂN TRƯỜNG 102A</t>
  </si>
  <si>
    <t>XUÂN TRƯỜNG 102B</t>
  </si>
  <si>
    <t>XUÂN TRƯỜNG 102C</t>
  </si>
  <si>
    <t>XUÂN TRƯỜNG 118</t>
  </si>
  <si>
    <t>XUÂN TRƯỜNG 118A</t>
  </si>
  <si>
    <t>XUÂN TRƯỜNG 118B</t>
  </si>
  <si>
    <t>XUÂN TRƯỜNG 1A</t>
  </si>
  <si>
    <t>XUÂN TRƯỜNG 2</t>
  </si>
  <si>
    <t>XUÂN TRƯỜNG 2A</t>
  </si>
  <si>
    <t>Bình thường</t>
  </si>
  <si>
    <t>Ấp 4, Xã Xuân Hòa, Thành phố Đồng Nai</t>
  </si>
  <si>
    <t>Suối Cát 2, Phường Xuân Lộc, Thành phố Đồng Nai</t>
  </si>
  <si>
    <t>khu phố Suối Cát 2, Phường Xuân Lộc, Thành phố Đồng Nai</t>
  </si>
  <si>
    <t>Thọ Bình, Phường Xuân Lộc, Thành phố Đồng Nai</t>
  </si>
  <si>
    <t>khu phố Thọ Bình, Phường Xuân Lộc, Thành phố Đồng Nai</t>
  </si>
  <si>
    <t>Thọ Phước, Phường Xuân Lộc, Thành phố Đồng Nai</t>
  </si>
  <si>
    <t>Thọ Chánh, Phường Xuân Lộc, Thành phố Đồng Nai</t>
  </si>
  <si>
    <t>khu phố Thọ Chánh, Phường Xuân Lộc, Thành phố Đồng Nai</t>
  </si>
  <si>
    <t>Thọ Tân, Phường Xuân Lộc, Thành phố Đồng Nai</t>
  </si>
  <si>
    <t>Thọ Trung, Phường Xuân Lộc, Thành phố Đồng Nai</t>
  </si>
  <si>
    <t>08 Thọ Trung, Phường Xuân Lộc, Thành phố Đồng Nai</t>
  </si>
  <si>
    <t>ấp Bảo Định, Xã Xuân Định, Thành phố Đồng Nai</t>
  </si>
  <si>
    <t>Ấp Chiến Thắng, Xã Xuân Định, Thành phố Đồng Nai</t>
  </si>
  <si>
    <t>10 Chiến Thắng, Xã Xuân Định, Thành phố Đồng Nai</t>
  </si>
  <si>
    <t>09 Bảo định, Xã Xuân Định, Thành phố Đồng Nai</t>
  </si>
  <si>
    <t>01 Bảo Thị, Xã Xuân Định, Thành phố Đồng Nai</t>
  </si>
  <si>
    <t>ấp Bảo Thị, Xã Xuân Định, Thành phố Đồng Nai</t>
  </si>
  <si>
    <t>49 Bào thị, Xã Xuân Định, Thành phố Đồng Nai</t>
  </si>
  <si>
    <t>68 Bảo Thị, Xã Xuân Định, Thành phố Đồng Nai</t>
  </si>
  <si>
    <t>Ấp Bảo Thị, Xã Xuân Định, Thành phố Đồng Nai</t>
  </si>
  <si>
    <t>Ấp Bảo  Thị, Xã Xuân Định, Thành phố Đồng Nai</t>
  </si>
  <si>
    <t>Ấp 6, Xã Xuân Bắc, Thành phố Đồng Nai</t>
  </si>
  <si>
    <t>ấp Bầu Cối, Xã Xuân Bắc, Thành phố Đồng Nai</t>
  </si>
  <si>
    <t>Ấp Bầu Cối, Xã Xuân Bắc, Thành phố Đồng Nai</t>
  </si>
  <si>
    <t>khu phố Trung Nghĩa, Phường Xuân Lộc, Thành phố Đồng Nai</t>
  </si>
  <si>
    <t>khu phố Bầu Sen, Phường Xuân Lộc, Thành phố Đồng Nai</t>
  </si>
  <si>
    <t>khu phố Trung Hiếu, Phường Xuân Lộc, Thành phố Đồng Nai</t>
  </si>
  <si>
    <t>Khu phố Bàu Sen, Phường Xuân Lộc, Thành phố Đồng Nai</t>
  </si>
  <si>
    <t>ấp Phượng Vỹ, Xã Xuân Thành, Thành phố Đồng Nai</t>
  </si>
  <si>
    <t>ấp Cây Da, Xã Xuân Thành, Thành phố Đồng Nai</t>
  </si>
  <si>
    <t>ấp Bàu Sình, Xã Xuân Thành, Thành phố Đồng Nai</t>
  </si>
  <si>
    <t>ấp Chà Rang, Xã Xuân Thành, Thành phố Đồng Nai</t>
  </si>
  <si>
    <t>Ấp Chà Rang, Xã Xuân Thành, Thành phố Đồng Nai</t>
  </si>
  <si>
    <t>Trụ sở ấp Bầu Sình, ấp Bầu Sình, Xã Xuân Thành, Thành phố Đồng Nai</t>
  </si>
  <si>
    <t>ấp Bầu Sình, Xã Xuân Thành, Thành phố Đồng Nai</t>
  </si>
  <si>
    <t>khu phố Bàu Sen, Phường Xuân Lộc, Thành phố Đồng Nai</t>
  </si>
  <si>
    <t>ấp Bình Hòa, Xã Xuân Phú, Thành phố Đồng Nai</t>
  </si>
  <si>
    <t>606 Bình Hòa, Xã Xuân Phú, Thành phố Đồng Nai</t>
  </si>
  <si>
    <t>Khu phố Bình Minh, Phường Xuân Lộc, Thành phố Đồng Nai</t>
  </si>
  <si>
    <t>khu phố Bình Minh 2, Phường Xuân Lộc, Thành phố Đồng Nai</t>
  </si>
  <si>
    <t>khu phố Việt Kiều 2, Phường Xuân Lộc, Thành phố Đồng Nai</t>
  </si>
  <si>
    <t>Ấp Bình Hòa, Xã Xuân Phú, Thành phố Đồng Nai</t>
  </si>
  <si>
    <t>ấp Bình Tân, Xã Xuân Phú, Thành phố Đồng Nai</t>
  </si>
  <si>
    <t>Bình Tân, Xã Xuân Phú, Thành phố Đồng Nai</t>
  </si>
  <si>
    <t>Ấp Bình Tiến, Xã Xuân Phú, Thành phố Đồng Nai</t>
  </si>
  <si>
    <t>ấp Bình Tiến, Xã Xuân Phú, Thành phố Đồng Nai</t>
  </si>
  <si>
    <t>Bình Tiến, Xã Xuân Phú, Thành phố Đồng Nai</t>
  </si>
  <si>
    <t>ấp Bình Xuân 2, Xã Xuân Phú, Thành phố Đồng Nai</t>
  </si>
  <si>
    <t>ấp Bình Xuân 1, Xã Xuân Phú, Thành phố Đồng Nai</t>
  </si>
  <si>
    <t>Ấp Đông Minh, Xã Xuân Phú, Thành phố Đồng Nai</t>
  </si>
  <si>
    <t>Tổ 2 ấp Đông Minh, Xã Xuân Phú, Thành phố Đồng Nai</t>
  </si>
  <si>
    <t>Ấp 1, Xã Xuân Bắc, Thành phố Đồng Nai</t>
  </si>
  <si>
    <t>Ấp Xuân Tâm 1, Xã Xuân Hòa, Thành phố Đồng Nai</t>
  </si>
  <si>
    <t>khu phố  Suối Cát 2, Phường Xuân Lộc, Thành phố Đồng Nai</t>
  </si>
  <si>
    <t>Khu phố Thọ Chánh, Phường Xuân Lộc, Thành phố Đồng Nai</t>
  </si>
  <si>
    <t>Ấp Bầu Sình, Xã Xuân Thành, Thành phố Đồng Nai</t>
  </si>
  <si>
    <t>ấp Phượng Vĩ, Xã Xuân Thành, Thành phố Đồng Nai</t>
  </si>
  <si>
    <t>Ấp Suối Cát 2, xã Suối Cát</t>
  </si>
  <si>
    <t>Ấp Xuân Hưng 2, Xã Xuân Hòa, Thành phố Đồng Nai</t>
  </si>
  <si>
    <t>ấp 2A, Xã Xuân Bắc, Thành phố Đồng Nai</t>
  </si>
  <si>
    <t>ấp Bình Xuân 1, Phường Xuân Lộc, Thành phố Đồng Nai</t>
  </si>
  <si>
    <t>Ấp Xuân Hưng 3A, Xã Xuân Hòa, Thành phố Đồng Nai</t>
  </si>
  <si>
    <t>Ấp 3, Xã Xuân Hòa, Thành phố Đồng Nai</t>
  </si>
  <si>
    <t>Ấp Xuân Hưng 3, Xã Xuân Hòa, Thành phố Đồng Nai</t>
  </si>
  <si>
    <t>432 Hòa bình, Xã Xuân Định, Thành phố Đồng Nai</t>
  </si>
  <si>
    <t>ấp Bưng Cần, Xã Xuân Định, Thành phố Đồng Nai</t>
  </si>
  <si>
    <t>Ấp Nam Hà, Xã Xuân Định, Thành phố Đồng Nai</t>
  </si>
  <si>
    <t>ấp Nam Hà, Xã Xuân Định, Thành phố Đồng Nai</t>
  </si>
  <si>
    <t>541 Hòa bình, Xã Xuân Định, Thành phố Đồng Nai</t>
  </si>
  <si>
    <t>140 Hòa hợp, Xã Xuân Định, Thành phố Đồng Nai</t>
  </si>
  <si>
    <t>ấp Hòa Bình, Xã Xuân Định, Thành phố Đồng Nai</t>
  </si>
  <si>
    <t>ấp Chiến Thắng, Xã Xuân Định, Thành phố Đồng Nai</t>
  </si>
  <si>
    <t>ấp Hoà bình, Xã Xuân Định, Thành phố Đồng Nai</t>
  </si>
  <si>
    <t>Chiến thắng, Xã Xuân Định, Thành phố Đồng Nai</t>
  </si>
  <si>
    <t>Số 92 ấp Chiến Thắng, Xã Xuân Định, Thành phố Đồng Nai</t>
  </si>
  <si>
    <t>ấp Hòa Hợp, Xã Xuân Định, Thành phố Đồng Nai</t>
  </si>
  <si>
    <t>456 Hòa hợp, Xã Xuân Định, Thành phố Đồng Nai</t>
  </si>
  <si>
    <t>khu phố Gia Ray 4, Phường Xuân Lộc, Thành phố Đồng Nai</t>
  </si>
  <si>
    <t>khu phố Gia Ray 8, Phường Xuân Lộc, Thành phố Đồng Nai</t>
  </si>
  <si>
    <t>khu phố Gia Ray 5, Phường Xuân Lộc, Thành phố Đồng Nai</t>
  </si>
  <si>
    <t>khu phố Suối Cát 1, Phường Xuân Lộc, Thành phố Đồng Nai</t>
  </si>
  <si>
    <t>Hòa bình, Xã Xuân Định, Thành phố Đồng Nai</t>
  </si>
  <si>
    <t>316 Hòa bình, Xã Xuân Định, Thành phố Đồng Nai</t>
  </si>
  <si>
    <t>khu phố Tân Tiến, Phường Xuân Lộc, Thành phố Đồng Nai</t>
  </si>
  <si>
    <t>Đông minh, Xã Xuân Phú, Thành phố Đồng Nai</t>
  </si>
  <si>
    <t>Ấp Tân Bình 1, Xã Xuân Phú, Thành phố Đồng Nai</t>
  </si>
  <si>
    <t>ấp Tân Bình 1, Xã Xuân Phú, Thành phố Đồng Nai</t>
  </si>
  <si>
    <t>Ấp Tân Bình 2, Xã Xuân Phú, Thành phố Đồng Nai</t>
  </si>
  <si>
    <t>ấp Tân Bình 2, Xã Xuân Phú, Thành phố Đồng Nai</t>
  </si>
  <si>
    <t>ấp Đông Minh, Xã Xuân Phú, Thành phố Đồng Nai</t>
  </si>
  <si>
    <t>ấp Tây Minh, Xã Xuân Phú, Thành phố Đồng Nai</t>
  </si>
  <si>
    <t>Cọ dầu 1, Xã Xuân Phú, Thành phố Đồng Nai</t>
  </si>
  <si>
    <t>Tân Bình 2, Xã Xuân Phú, Thành phố Đồng Nai</t>
  </si>
  <si>
    <t>ấp Tân bình 2, Xã Xuân Phú, Thành phố Đồng Nai</t>
  </si>
  <si>
    <t>38 Tân bình 1, Xã Xuân Phú, Thành phố Đồng Nai</t>
  </si>
  <si>
    <t>ấp 3A, Xã Xuân Hòa, Thành phố Đồng Nai</t>
  </si>
  <si>
    <t>khu phố Tân Hưng, Phường Xuân Lộc, Thành phố Đồng Nai</t>
  </si>
  <si>
    <t>khu phố Gia Hòa, Phường Xuân Lộc, Thành phố Đồng Nai</t>
  </si>
  <si>
    <t>khu phố Trung Tín, Phường Xuân Lộc, Thành phố Đồng Nai</t>
  </si>
  <si>
    <t>Gia Tỵ, Xã Xuân Thành, Thành phố Đồng Nai</t>
  </si>
  <si>
    <t>ấp Gia Tỵ, Xã Xuân Thành, Thành phố Đồng Nai</t>
  </si>
  <si>
    <t>Khu phố Trung Sơn, Phường Xuân Lộc, Thành phố Đồng Nai</t>
  </si>
  <si>
    <t>Gia Lào, Xã Xuân Thành, Thành phố Đồng Nai</t>
  </si>
  <si>
    <t>ấp Gia Lào, Xã Xuân Thành, Thành phố Đồng Nai</t>
  </si>
  <si>
    <t>Thọ Lộc, Xã Xuân Thành, Thành phố Đồng Nai</t>
  </si>
  <si>
    <t>Ấp Gia Lào, Xã Xuân Thành, Thành phố Đồng Nai</t>
  </si>
  <si>
    <t>ấp Gia lào, Xã Xuân Thành, Thành phố Đồng Nai</t>
  </si>
  <si>
    <t>Trung Nghĩa, Phường Xuân Lộc, Thành phố Đồng Nai</t>
  </si>
  <si>
    <t>khu phố Gia Ray 1, Phường Xuân Lộc, Thành phố Đồng Nai</t>
  </si>
  <si>
    <t>khu phố Gia Ray 2, Phường Xuân Lộc, Thành phố Đồng Nai</t>
  </si>
  <si>
    <t>Khu phố Gia Ray 5, Phường Xuân Lộc, Thành phố Đồng Nai</t>
  </si>
  <si>
    <t>khu phố Trung Lương, Phường Xuân Lộc, Thành phố Đồng Nai</t>
  </si>
  <si>
    <t>17 đường số 8 khu phố Gia Ray 1, Phường Xuân Lộc, Thành phố Đồng Nai</t>
  </si>
  <si>
    <t>khu phố Gia Ray 3, Phường Xuân Lộc, Thành phố Đồng Nai</t>
  </si>
  <si>
    <t>Ấp 2, Xã Xuân Hòa, Thành phố Đồng Nai</t>
  </si>
  <si>
    <t>37 Hòa hợp, Xã Xuân Định, Thành phố Đồng Nai</t>
  </si>
  <si>
    <t>145Hòa hợp, Xã Xuân Định, Thành phố Đồng Nai</t>
  </si>
  <si>
    <t>Khu phố Tam Hiệp, Phường Xuân Lộc, Thành phố Đồng Nai</t>
  </si>
  <si>
    <t>737 Nam hà, Xã Xuân Định, Thành phố Đồng Nai</t>
  </si>
  <si>
    <t>Ấp Hòa Hợp,Xã Bảo Hoà</t>
  </si>
  <si>
    <t>Hòa hợp, Xã Xuân Định, Thành phố Đồng Nai</t>
  </si>
  <si>
    <t>Ấp Xuân Tâm 6, Xã Xuân Hòa, Thành phố Đồng Nai</t>
  </si>
  <si>
    <t>khu phố Gia Ray 7, Phường Xuân Lộc, Thành phố Đồng Nai</t>
  </si>
  <si>
    <t>Ấp Tây Minh, Xã Xuân Phú, Thành phố Đồng Nai</t>
  </si>
  <si>
    <t>Khu phố Việt Kiều 1 (thửa đất 184 tờ bản đồ số 21), Phường Xuân Lộc, Thành phố Đồng Nai</t>
  </si>
  <si>
    <t>khu phố Việt Kiều, Phường Xuân Lộc, Thành phố Đồng Nai</t>
  </si>
  <si>
    <t>23 Nông doanh, Xã Xuân Định, Thành phố Đồng Nai</t>
  </si>
  <si>
    <t>589 Hòa bình, Xã Xuân Định, Thành phố Đồng Nai</t>
  </si>
  <si>
    <t>Hòa Bình, Xã Xuân Định, Thành phố Đồng Nai</t>
  </si>
  <si>
    <t>ấp Hòa bình, Xã Xuân Định, Thành phố Đồng Nai</t>
  </si>
  <si>
    <t>Số 116 ấp Nam Hà, Xã Xuân Định, Thành phố Đồng Nai</t>
  </si>
  <si>
    <t>Nam Hà, Xã Xuân Định, Thành phố Đồng Nai</t>
  </si>
  <si>
    <t>734 Nam hà, Xã Xuân Định, Thành phố Đồng Nai</t>
  </si>
  <si>
    <t>Ấp Xuân Tâm 4, Xã Xuân Hòa, Thành phố Đồng Nai</t>
  </si>
  <si>
    <t>Tổ 13 Ấp Xuân Tâm 4, Xã Xuân Hòa, Thành phố Đồng Nai</t>
  </si>
  <si>
    <t>ấp Tân Hữu, Xã Xuân Thành, Thành phố Đồng Nai</t>
  </si>
  <si>
    <t>Ấp  Tân Hữu, Xã Xuân Thành, Thành phố Đồng Nai</t>
  </si>
  <si>
    <t>Nông doanh, Xã Xuân Định, Thành phố Đồng Nai</t>
  </si>
  <si>
    <t>Ấp Nông Doanh, Xã Xuân Định, Thành phố Đồng Nai</t>
  </si>
  <si>
    <t>Ấp Bảo Định, Xã Xuân Định, Thành phố Đồng Nai</t>
  </si>
  <si>
    <t>ấp Nông Doanh, Xã Xuân Định, Thành phố Đồng Nai</t>
  </si>
  <si>
    <t>Khu phố Gia Ray 6, Phường Xuân Lộc, Thành phố Đồng Nai</t>
  </si>
  <si>
    <t>khu phố Gia Ray 6, Phường Xuân Lộc, Thành phố Đồng Nai</t>
  </si>
  <si>
    <t>khu phố  Việt Kiều 2, Phường Xuân Lộc, Thành phố Đồng Nai</t>
  </si>
  <si>
    <t>Ấp 5, Xã Xuân Hòa, Thành phố Đồng Nai</t>
  </si>
  <si>
    <t>Ấp Xuân Tâm 5, Xã Xuân Hòa, Thành phố Đồng Nai</t>
  </si>
  <si>
    <t>khu phố Trung Hưng, Phường Xuân Lộc, Thành phố Đồng Nai</t>
  </si>
  <si>
    <t>Khu phố Gia Ray 1, Phường Xuân Lộc, Thành phố Đồng Nai</t>
  </si>
  <si>
    <t>Ấp Phượng Vỹ, Xã Xuân Thành, Thành phố Đồng Nai</t>
  </si>
  <si>
    <t>Việt Kiều, Phường Xuân Lộc, Thành phố Đồng Nai</t>
  </si>
  <si>
    <t>1A72  tổ 6 khu phố Gia Ray 8, Phường Xuân Lộc, Thành phố Đồng Nai</t>
  </si>
  <si>
    <t>Số 101, Xã Xuân Hòa, Thành phố Đồng Nai</t>
  </si>
  <si>
    <t>ấp Trung Lương, Xã Xuân Thành, Thành phố Đồng Nai</t>
  </si>
  <si>
    <t>Số 134 ấp Phượng Vỹ, Xã Xuân Thành, Thành phố Đồng Nai</t>
  </si>
  <si>
    <t>khu phố Bình Minh 1, Phường Xuân Lộc, Thành phố Đồng Nai</t>
  </si>
  <si>
    <t>Khu phố Thọ Bình, Phường Xuân Lộc, Thành phố Đồng Nai</t>
  </si>
  <si>
    <t>Khu phố Suối Cát 1, Phường Xuân Lộc, Thành phố Đồng Nai</t>
  </si>
  <si>
    <t>Tây minh, Xã Xuân Phú, Thành phố Đồng Nai</t>
  </si>
  <si>
    <t>Ấp Xuân Hưng 1A, Xã Xuân Hòa, Thành phố Đồng Nai</t>
  </si>
  <si>
    <t>Ấp Xuân Hưng 1, Xã Xuân Hòa, Thành phố Đồng Nai</t>
  </si>
  <si>
    <t>Ấp Xuân Hưng 5, Xã Xuân Hòa, Thành phố Đồng Nai</t>
  </si>
  <si>
    <t>Ấp Xuân Hưng 4, Xã Xuân Hòa, Thành phố Đồng Nai</t>
  </si>
  <si>
    <t>Đại đội Bảo vệ 1, ấp Xuân Hưng 5, Xã Xuân Hòa, Thành phố Đồng Nai</t>
  </si>
  <si>
    <t>khu phố Tam Hiệp, Phường Xuân Lộc, Thành phố Đồng Nai</t>
  </si>
  <si>
    <t>Tân Hưng, Xã Xuân Thành, Thành phố Đồng Nai</t>
  </si>
  <si>
    <t>Ấp Tân Hợp, Xã Xuân Thành, Thành phố Đồng Nai</t>
  </si>
  <si>
    <t>Ấp Tân Hữu, Xã Xuân Thành, Thành phố Đồng Nai</t>
  </si>
  <si>
    <t>Khu phố Tân Tiến, Phường Xuân Lộc, Thành phố Đồng Nai</t>
  </si>
  <si>
    <t>Khu phố Tân Tíên, Phường Xuân Lộc, Thành phố Đồng Nai</t>
  </si>
  <si>
    <t>Số 05 Ngô Quyền khu phố Gia ray 4, Phường Xuân Lộc, Thành phố Đồng Nai</t>
  </si>
  <si>
    <t>302 ấp 2B, Xã Xuân Bắc, Thành phố Đồng Nai</t>
  </si>
  <si>
    <t>ấp 2B, Xã Xuân Bắc, Thành phố Đồng Nai</t>
  </si>
  <si>
    <t>175 ấp 7, Xã Xuân Bắc, Thành phố Đồng Nai</t>
  </si>
  <si>
    <t>176 Ấp 2B, Xã Xuân Bắc, Thành phố Đồng Nai</t>
  </si>
  <si>
    <t>ấp 7, Xã Xuân Bắc, Thành phố Đồng Nai</t>
  </si>
  <si>
    <t>Ấp 7, Xã Xuân Bắc, Thành phố Đồng Nai</t>
  </si>
  <si>
    <t>33-Ấp 7, Xã Xuân Bắc, Thành phố Đồng Nai</t>
  </si>
  <si>
    <t>Khu phố Suối Cát, phường Xuân Lộc, Thành phố Đồng Nai</t>
  </si>
  <si>
    <t>Bảo định, Xã Xuân Định, Thành phố Đồng Nai</t>
  </si>
  <si>
    <t>195 ấp Bảo Định, Xã Xuân Định, Thành phố Đồng Nai</t>
  </si>
  <si>
    <t>khu phố Thọ Hòa, Phường Xuân Lộc, Thành phố Đồng Nai</t>
  </si>
  <si>
    <t>Thọ Hòa, Phường Xuân Lộc, Thành phố Đồng Nai</t>
  </si>
  <si>
    <t>41 Thọ Hòa, Phường Xuân Lộc, Thành phố Đồng Nai</t>
  </si>
  <si>
    <t>khu phố Thọ Phước, Phường Xuân Lộc, Thành phố Đồng Nai</t>
  </si>
  <si>
    <t>468 Thọ Phước, Phường Xuân Lộc, Thành phố Đồng Nai</t>
  </si>
  <si>
    <t>197 Thọ Lộc, Phường Xuân Lộc, Thành phố Đồng Nai</t>
  </si>
  <si>
    <t>423 Thọ Phước, Phường Xuân Lộc, Thành phố Đồng Nai</t>
  </si>
  <si>
    <t>240 Thọ Phước, Phường Xuân Lộc, Thành phố Đồng Nai</t>
  </si>
  <si>
    <t>274 Thọ Phước, Phường Xuân Lộc, Thành phố Đồng Nai</t>
  </si>
  <si>
    <t>118 Thọ Phước, Phường Xuân Lộc, Thành phố Đồng Nai</t>
  </si>
  <si>
    <t>khu phố Thọ Lộc, Phường Xuân Lộc, Thành phố Đồng Nai</t>
  </si>
  <si>
    <t>579 Thọ Tân, Phường Xuân Lộc, Thành phố Đồng Nai</t>
  </si>
  <si>
    <t>Số 663 Khu phố Thọ Lộc, Phường Xuân Lộc, Thành phố Đồng Nai</t>
  </si>
  <si>
    <t>668 Thọ Lộc, Phường Xuân Lộc, Thành phố Đồng Nai</t>
  </si>
  <si>
    <t>144 Thọ Phước, Phường Xuân Lộc, Thành phố Đồng Nai</t>
  </si>
  <si>
    <t>khu phố Thọ Tân, Phường Xuân Lộc, Thành phố Đồng Nai</t>
  </si>
  <si>
    <t>khu phố Thọ Trung, Phường Xuân Lộc, Thành phố Đồng Nai</t>
  </si>
  <si>
    <t>ấp 6, Xã Xuân Bắc, Thành phố Đồng Nai</t>
  </si>
  <si>
    <t>ấp 4B, Xã Xuân Bắc, Thành phố Đồng Nai</t>
  </si>
  <si>
    <t>Ấp Xuân Tâm 2, Xã Xuân Hòa, Thành phố Đồng Nai</t>
  </si>
  <si>
    <t>Ấp Gia Ui, Xã Xuân Hòa, Thành phố Đồng Nai</t>
  </si>
  <si>
    <t>ấp Gia Ui (thửa đất số 5, tờ bản đồ số 135), Xã Xuân Hòa, Thành phố Đồng Nai</t>
  </si>
  <si>
    <t>ấp Gia Ui ( thửa đất số 94 tờ bản đồ số 16), Xã Xuân Hòa, Thành phố Đồng Nai</t>
  </si>
  <si>
    <t>Ấp Suối Đục, Xã Xuân Hòa, Thành phố Đồng Nai</t>
  </si>
  <si>
    <t>ấp Suối Đục, Xã Xuân Hòa, Thành phố Đồng Nai</t>
  </si>
  <si>
    <t>ấp Xuân Tâm 4, Xã Xuân Hòa, Thành phố Đồng Nai</t>
  </si>
  <si>
    <t>ấp Xuân Tâm 4, Xã Xuân Hòa, Tỉnh Đồng Nai, Việt Nam</t>
  </si>
  <si>
    <t>Trảng Táo, Xã Xuân Hòa, Thành phố Đồng Nai</t>
  </si>
  <si>
    <t>Trảng Táo, Xã Xuân Thành, Thành phố Đồng Nai</t>
  </si>
  <si>
    <t>ấp suối Đục, Xã Xuân Hòa, Thành phố Đồng Nai</t>
  </si>
  <si>
    <t>Khu phố Gia Ray 2, Phường Xuân Lộc, Thành phố Đồng Nai</t>
  </si>
  <si>
    <t>Khu phố Gia Ray 7, Phường Xuân Lộc, Thành phố Đồng Nai</t>
  </si>
  <si>
    <t>khu phố Trung Sơn, Phường Xuân Lộc, Thành phố Đồng Nai</t>
  </si>
  <si>
    <t>Ấp 2A, Xã Xuân Bắc, Thành phố Đồng Nai</t>
  </si>
  <si>
    <t>Ấp 3B, Xã Xuân Bắc, Thành phố Đồng Nai</t>
  </si>
  <si>
    <t>Ấp 3A, Xã Xuân Bắc, Thành phố Đồng Nai</t>
  </si>
  <si>
    <t>ấp 8, Xã Xuân Bắc, Thành phố Đồng Nai</t>
  </si>
  <si>
    <t>Ấp 8, Xã Xuân Bắc, Thành phố Đồng Nai</t>
  </si>
  <si>
    <t>Ấp 8,, Xã Xuân Bắc, Thành phố Đồng Nai</t>
  </si>
  <si>
    <t>Ấp 2B, Xã Xuân Bắc, Thành phố Đồng Nai</t>
  </si>
  <si>
    <t>ấp 3A, Xã Xuân Bắc, Thành phố Đồng Nai</t>
  </si>
  <si>
    <t>ấp 3B, Xã Xuân Bắc, Thành phố Đồng Nai</t>
  </si>
  <si>
    <t>ấp 1, Xã Xuân Bắc, Thành phố Đồng Nai</t>
  </si>
  <si>
    <t>số 52 Ấp 2B, Xã Xuân Bắc, Thành phố Đồng Nai</t>
  </si>
  <si>
    <t>Số 29 ấp 3B, Xã Xuân Bắc, Thành phố Đồng Nai</t>
  </si>
  <si>
    <t>349 Ấp 2B, Xã Xuân Bắc, Thành phố Đồng Nai</t>
  </si>
  <si>
    <t>189 Bảo định, Xã Xuân Định, Thành phố Đồng Nai</t>
  </si>
  <si>
    <t>204 Chiến thắng, Xã Xuân Định, Thành phố Đồng Nai</t>
  </si>
  <si>
    <t>05 Chiến thắng, Xã Xuân Định, Thành phố Đồng Nai</t>
  </si>
  <si>
    <t>Ấp 6, Xã Xuân Hòa, Thành phố Đồng Nai</t>
  </si>
  <si>
    <t>Ấp 1, Xã Xuân Hòa, Thành phố Đồng Nai</t>
  </si>
  <si>
    <t>Số 565 Ấp 1, Xã Xuân Hòa, Thành phố Đồng Nai</t>
  </si>
  <si>
    <t>ấp Hòa Hưng, Xã Xuân Hòa, Thành phố Đồng Nai</t>
  </si>
  <si>
    <t>Ấp Xuân Hưng 4 ( thửa đất số 973 tờ số 61), Xã Xuân Hòa, Tỉnh Đồng Nai, Việt Nam</t>
  </si>
  <si>
    <t>Ấp Xuân Hưng 4 ( thửa đất số 309 tờ bản đồ số 48), Xã Xuân Hòa, Thành phố Đồng Nai</t>
  </si>
  <si>
    <t>Khu phố Xuân Hưng 4, Xã Xuân Hòa, Thành phố Đồng Nai</t>
  </si>
  <si>
    <t>158 Bình Xuân 1, Xã Xuân Phú, Thành phố Đồng Nai</t>
  </si>
  <si>
    <t>230 Bình Xuân 1, Xã Xuân Phú, Thành phố Đồng Nai</t>
  </si>
  <si>
    <t>319 Bình Xuân 1, Xã Xuân Phú, Thành phố Đồng Nai</t>
  </si>
  <si>
    <t>406 Bình Tân, Xã Xuân Phú, Thành phố Đồng Nai</t>
  </si>
  <si>
    <t>310 Bình Xuân 1, Xã Xuân Phú, Thành phố Đồng Nai</t>
  </si>
  <si>
    <t>Bình Xuân 1, Xã Xuân Phú, Thành phố Đồng Nai</t>
  </si>
  <si>
    <t>Số 41 ấp Bình Tân, Xã Xuân Phú, Thành phố Đồng Nai</t>
  </si>
  <si>
    <t>189 Bình Hòa, Xã Xuân Phú, Thành phố Đồng Nai</t>
  </si>
  <si>
    <t>257 Bình Hòa, Xã Xuân Phú, Thành phố Đồng Nai</t>
  </si>
  <si>
    <t>Bình Hòa, Xã Xuân Phú, Thành phố Đồng Nai</t>
  </si>
  <si>
    <t>798 Bình Hòa, Xã Xuân Phú, Thành phố Đồng Nai</t>
  </si>
  <si>
    <t>ấp Xuân Phú, Xã Xuân Phú, Thành phố Đồng Nai</t>
  </si>
  <si>
    <t>Km 1792+900, quốc lộ 1A, xã Xuân Tâm 4, xã Xuân Hòa, tỉnh Đồng Nai, VN.</t>
  </si>
  <si>
    <t>Ấp Xuân Tâm 7, Xã Xuân Hòa, Thành phố Đồng Nai</t>
  </si>
  <si>
    <t>Ấp Xuân Tâm 3, Xã Xuân Hòa, Thành phố Đồng Nai</t>
  </si>
  <si>
    <t>Ngân hàng, Xã Xuân Hòa, Thành phố Đồng Nai</t>
  </si>
  <si>
    <t>Tòa án nhân dân huyện Xuân Lộc, Xã Xuân Hòa, Thành phố Đồng Nai</t>
  </si>
  <si>
    <t>Trung Lương, Phường Xuân Lộc, Thành phố Đồng Nai</t>
  </si>
  <si>
    <t>Gia Hòa, Xã Xuân Thành, Thành phố Đồng Nai</t>
  </si>
  <si>
    <t>Gia Hòa, Phường Xuân Lộc, Thành phố Đồng Nai</t>
  </si>
  <si>
    <t>Tân Hòa, Xã Xuân Thành, Thành phố Đồng Nai</t>
  </si>
  <si>
    <t>Tân Hợp, Xã Xuân Thành, Thành phố Đồng Nai</t>
  </si>
  <si>
    <t>Tân Hữu, Xã Xuân Thành, Thành phố Đồng Nai</t>
  </si>
  <si>
    <t>Khu 8, Phường Xuân Lộc, Thành phố Đồng Nai</t>
  </si>
  <si>
    <t>Thọ Lộc, Phường Xuân Lộc, Thành phố Đồng Nai</t>
  </si>
  <si>
    <t>Bảo Thị, Xã Xuân Định, Thành phố Đồng Nai</t>
  </si>
  <si>
    <t>Xuân Tâm, Xã Xuân Hòa, Thành phố Đồng Nai</t>
  </si>
  <si>
    <t xml:space="preserve"> ấp 6, Xã Xuân Bắc, Thành phố Đồng Nai</t>
  </si>
  <si>
    <t>Ấp 5, Xã Xuân Bắc, Thành phố Đồng Nai</t>
  </si>
  <si>
    <t xml:space="preserve"> ấp 2A, Xã Xuân Bắc, Thành phố Đồng Nai</t>
  </si>
  <si>
    <t>Khu phố 8, Xã Xuân Bắc, Thành phố Đồng Nai</t>
  </si>
  <si>
    <t>Cải tạo, nâng cấp từ 1 pha lên 3 pha 4 TBA năm 2027, 17 TBA năm 2028, 6 TBA năm 2029, 10 TBA năm 2030</t>
  </si>
  <si>
    <t>Cải tạo, nâng cấp từ 1 pha lên 3 pha 4 TBA năm 2027, 4 TBA năm 2028, 4 TBA năm 2029, 6 TBA năm 2030</t>
  </si>
  <si>
    <t>Cải tạo, nâng cấp từ 1 pha lên 3 pha 1 TBA năm 2027, 12 TBA năm 2028, 7 TBA năm 2029, 1 TBA năm 2030</t>
  </si>
  <si>
    <t>Cải tạo, nâng cấp từ 1 pha lên 3 pha 4 TBA năm 2027, 2 TBA năm 2028, 4 TBA năm 2029, 2 TBA năm 2030</t>
  </si>
  <si>
    <t>Cải tạo, nâng cấp từ 1 pha lên 3 pha 9 TBA năm 2027, 2 TBA năm 2028, 8 TBA năm 2029,  TBA năm 2030</t>
  </si>
  <si>
    <t>Cải tạo, nâng cấp từ 1 pha lên 3 pha 3 TBA năm 2027, 1 TBA năm 2028, 4 TBA năm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</si>
</sst>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2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  <font>
      <i/>
      <sz val="11"/>
      <name val="Times New Roman"/>
      <charset val="1"/>
    </font>
    <font>
      <b/>
      <sz val="11"/>
      <name val="Times New Roman"/>
      <charset val="1"/>
    </font>
    <font>
      <b/>
      <sz val="10"/>
      <name val="Times New Roman"/>
      <charset val="1"/>
    </font>
    <font>
      <i/>
      <sz val="9"/>
      <name val="Times New Roman"/>
      <charset val="1"/>
    </font>
    <font>
      <i/>
      <sz val="10"/>
      <color rgb="FF7F7F7F"/>
      <name val="Times New Roman"/>
      <charset val="1"/>
    </font>
    <font>
      <sz val="10"/>
      <name val="Times New Roman"/>
      <charset val="1"/>
    </font>
    <font>
      <i/>
      <sz val="10"/>
      <name val="Times New Roman"/>
      <charset val="1"/>
    </font>
    <font>
      <sz val="10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2" borderId="0" xfId="0" applyFill="1"/>
    <xf numFmtId="0" fontId="5" fillId="0" borderId="0" xfId="0" applyFont="1"/>
    <xf numFmtId="0" fontId="0" fillId="2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3" fontId="8" fillId="4" borderId="1" xfId="0" applyNumberFormat="1" applyFont="1" applyFill="1" applyBorder="1"/>
    <xf numFmtId="0" fontId="9" fillId="0" borderId="1" xfId="0" applyFont="1" applyBorder="1" applyAlignment="1">
      <alignment horizontal="center"/>
    </xf>
    <xf numFmtId="0" fontId="9" fillId="2" borderId="1" xfId="0" applyFont="1" applyFill="1" applyBorder="1"/>
    <xf numFmtId="3" fontId="9" fillId="0" borderId="1" xfId="0" applyNumberFormat="1" applyFont="1" applyBorder="1"/>
    <xf numFmtId="3" fontId="9" fillId="2" borderId="1" xfId="0" applyNumberFormat="1" applyFont="1" applyFill="1" applyBorder="1"/>
    <xf numFmtId="0" fontId="0" fillId="5" borderId="1" xfId="0" applyFill="1" applyBorder="1"/>
    <xf numFmtId="0" fontId="6" fillId="5" borderId="1" xfId="0" applyFont="1" applyFill="1" applyBorder="1"/>
    <xf numFmtId="3" fontId="6" fillId="5" borderId="1" xfId="0" applyNumberFormat="1" applyFont="1" applyFill="1" applyBorder="1"/>
    <xf numFmtId="0" fontId="10" fillId="0" borderId="0" xfId="0" applyFont="1"/>
    <xf numFmtId="0" fontId="9" fillId="0" borderId="1" xfId="0" applyFont="1" applyBorder="1"/>
    <xf numFmtId="164" fontId="9" fillId="0" borderId="1" xfId="0" applyNumberFormat="1" applyFont="1" applyBorder="1"/>
    <xf numFmtId="164" fontId="0" fillId="5" borderId="1" xfId="0" applyNumberFormat="1" applyFill="1" applyBorder="1"/>
    <xf numFmtId="9" fontId="8" fillId="4" borderId="1" xfId="0" applyNumberFormat="1" applyFont="1" applyFill="1" applyBorder="1"/>
    <xf numFmtId="9" fontId="9" fillId="2" borderId="1" xfId="0" applyNumberFormat="1" applyFont="1" applyFill="1" applyBorder="1"/>
    <xf numFmtId="14" fontId="9" fillId="2" borderId="1" xfId="0" applyNumberFormat="1" applyFont="1" applyFill="1" applyBorder="1"/>
    <xf numFmtId="0" fontId="11" fillId="2" borderId="1" xfId="0" applyFont="1" applyFill="1" applyBorder="1"/>
    <xf numFmtId="0" fontId="1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zoomScaleNormal="100" workbookViewId="0">
      <selection activeCell="B18" sqref="B18"/>
    </sheetView>
  </sheetViews>
  <sheetFormatPr defaultColWidth="8.6640625" defaultRowHeight="14.4" x14ac:dyDescent="0.3"/>
  <cols>
    <col min="1" max="1" width="4" customWidth="1"/>
    <col min="2" max="2" width="110" customWidth="1"/>
  </cols>
  <sheetData>
    <row r="1" spans="1:2" ht="31.2" x14ac:dyDescent="0.3">
      <c r="B1" s="1" t="s">
        <v>0</v>
      </c>
    </row>
    <row r="2" spans="1:2" ht="27.6" x14ac:dyDescent="0.3">
      <c r="B2" s="2" t="s">
        <v>1</v>
      </c>
    </row>
    <row r="3" spans="1:2" x14ac:dyDescent="0.3">
      <c r="B3" s="2"/>
    </row>
    <row r="4" spans="1:2" ht="15.6" x14ac:dyDescent="0.3">
      <c r="B4" s="1" t="s">
        <v>2</v>
      </c>
    </row>
    <row r="5" spans="1:2" ht="27.6" x14ac:dyDescent="0.3">
      <c r="A5" s="3"/>
      <c r="B5" s="2" t="s">
        <v>3</v>
      </c>
    </row>
    <row r="6" spans="1:2" ht="27.6" x14ac:dyDescent="0.3">
      <c r="B6" s="2" t="s">
        <v>4</v>
      </c>
    </row>
    <row r="7" spans="1:2" x14ac:dyDescent="0.3">
      <c r="B7" s="2" t="s">
        <v>5</v>
      </c>
    </row>
    <row r="8" spans="1:2" ht="27.6" x14ac:dyDescent="0.3">
      <c r="B8" s="2" t="s">
        <v>6</v>
      </c>
    </row>
    <row r="9" spans="1:2" x14ac:dyDescent="0.3">
      <c r="B9" s="2" t="s">
        <v>7</v>
      </c>
    </row>
    <row r="10" spans="1:2" x14ac:dyDescent="0.3">
      <c r="B10" s="2" t="s">
        <v>8</v>
      </c>
    </row>
    <row r="11" spans="1:2" ht="27.6" x14ac:dyDescent="0.3">
      <c r="B11" s="2" t="s">
        <v>9</v>
      </c>
    </row>
    <row r="12" spans="1:2" ht="27.6" x14ac:dyDescent="0.3">
      <c r="B12" s="2" t="s">
        <v>10</v>
      </c>
    </row>
    <row r="13" spans="1:2" x14ac:dyDescent="0.3">
      <c r="B13" s="2" t="s">
        <v>11</v>
      </c>
    </row>
    <row r="14" spans="1:2" x14ac:dyDescent="0.3">
      <c r="B14" s="2"/>
    </row>
    <row r="15" spans="1:2" ht="15.6" x14ac:dyDescent="0.3">
      <c r="B15" s="1"/>
    </row>
    <row r="16" spans="1:2" x14ac:dyDescent="0.3">
      <c r="B16" s="2"/>
    </row>
    <row r="17" spans="2:2" x14ac:dyDescent="0.3">
      <c r="B1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zoomScaleNormal="100" workbookViewId="0">
      <pane xSplit="2" ySplit="6" topLeftCell="F7" activePane="bottomRight" state="frozen"/>
      <selection pane="topRight" activeCell="C1" sqref="C1"/>
      <selection pane="bottomLeft" activeCell="A7" sqref="A7"/>
      <selection pane="bottomRight" activeCell="Q12" sqref="Q12"/>
    </sheetView>
  </sheetViews>
  <sheetFormatPr defaultColWidth="8.6640625" defaultRowHeight="14.4" x14ac:dyDescent="0.3"/>
  <cols>
    <col min="1" max="1" width="5" customWidth="1"/>
    <col min="2" max="2" width="24" customWidth="1"/>
    <col min="3" max="16" width="13" customWidth="1"/>
    <col min="17" max="17" width="22" customWidth="1"/>
  </cols>
  <sheetData>
    <row r="1" spans="1:17" ht="16.8" x14ac:dyDescent="0.3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3">
      <c r="A2" s="28" t="s">
        <v>13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x14ac:dyDescent="0.3">
      <c r="A3" s="4" t="s">
        <v>14</v>
      </c>
      <c r="C3" s="5"/>
    </row>
    <row r="5" spans="1:17" ht="75" customHeight="1" x14ac:dyDescent="0.3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  <c r="O5" s="6" t="s">
        <v>142</v>
      </c>
      <c r="P5" s="6" t="s">
        <v>29</v>
      </c>
      <c r="Q5" s="6" t="s">
        <v>30</v>
      </c>
    </row>
    <row r="6" spans="1:17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40</v>
      </c>
      <c r="K6" s="7" t="s">
        <v>41</v>
      </c>
      <c r="L6" s="7" t="s">
        <v>42</v>
      </c>
      <c r="M6" s="7" t="s">
        <v>43</v>
      </c>
      <c r="N6" s="7" t="s">
        <v>44</v>
      </c>
      <c r="O6" s="7" t="s">
        <v>45</v>
      </c>
      <c r="P6" s="7" t="s">
        <v>46</v>
      </c>
      <c r="Q6" s="7" t="s">
        <v>47</v>
      </c>
    </row>
    <row r="7" spans="1:17" x14ac:dyDescent="0.3">
      <c r="A7" s="8" t="s">
        <v>48</v>
      </c>
      <c r="B7" s="9" t="s">
        <v>49</v>
      </c>
      <c r="C7" s="10">
        <f t="shared" ref="C7:C37" si="0">IF(COUNT(D7:E7)=0,"",D7+E7)</f>
        <v>12500</v>
      </c>
      <c r="D7" s="10">
        <v>11800</v>
      </c>
      <c r="E7" s="10">
        <v>700</v>
      </c>
      <c r="F7" s="10">
        <v>38500000</v>
      </c>
      <c r="G7" s="10">
        <v>31200000</v>
      </c>
      <c r="H7" s="10">
        <v>210</v>
      </c>
      <c r="I7" s="10">
        <v>1260</v>
      </c>
      <c r="J7" s="10">
        <v>15</v>
      </c>
      <c r="K7" s="10">
        <v>90</v>
      </c>
      <c r="L7" s="10">
        <v>8</v>
      </c>
      <c r="M7" s="10">
        <v>80</v>
      </c>
      <c r="N7" s="10">
        <v>120</v>
      </c>
      <c r="O7" s="10">
        <v>95000</v>
      </c>
      <c r="P7" s="10">
        <v>6</v>
      </c>
      <c r="Q7" s="9" t="s">
        <v>50</v>
      </c>
    </row>
    <row r="8" spans="1:17" x14ac:dyDescent="0.3">
      <c r="A8" s="11">
        <v>2</v>
      </c>
      <c r="B8" s="12" t="s">
        <v>147</v>
      </c>
      <c r="C8" s="13">
        <f t="shared" si="0"/>
        <v>12</v>
      </c>
      <c r="D8" s="14">
        <v>12</v>
      </c>
      <c r="E8" s="14"/>
      <c r="F8" s="14">
        <v>37096</v>
      </c>
      <c r="G8" s="14">
        <v>31641</v>
      </c>
      <c r="H8" s="14"/>
      <c r="I8" s="14"/>
      <c r="J8" s="14"/>
      <c r="K8" s="14"/>
      <c r="L8" s="14"/>
      <c r="M8" s="14"/>
      <c r="N8" s="14"/>
      <c r="O8" s="14"/>
      <c r="P8" s="14"/>
      <c r="Q8" s="12"/>
    </row>
    <row r="9" spans="1:17" x14ac:dyDescent="0.3">
      <c r="A9" s="11">
        <v>3</v>
      </c>
      <c r="B9" s="12" t="s">
        <v>148</v>
      </c>
      <c r="C9" s="13">
        <f t="shared" si="0"/>
        <v>23</v>
      </c>
      <c r="D9" s="14">
        <v>23</v>
      </c>
      <c r="E9" s="14"/>
      <c r="F9" s="14">
        <v>62826</v>
      </c>
      <c r="G9" s="14">
        <v>46325</v>
      </c>
      <c r="H9" s="14"/>
      <c r="I9" s="14"/>
      <c r="J9" s="14"/>
      <c r="K9" s="14"/>
      <c r="L9" s="14"/>
      <c r="M9" s="14"/>
      <c r="N9" s="14"/>
      <c r="O9" s="14"/>
      <c r="P9" s="14"/>
      <c r="Q9" s="12"/>
    </row>
    <row r="10" spans="1:17" x14ac:dyDescent="0.3">
      <c r="A10" s="11">
        <v>4</v>
      </c>
      <c r="B10" s="12" t="s">
        <v>149</v>
      </c>
      <c r="C10" s="13">
        <f t="shared" si="0"/>
        <v>25</v>
      </c>
      <c r="D10" s="14">
        <v>25</v>
      </c>
      <c r="E10" s="14"/>
      <c r="F10" s="14">
        <v>57363</v>
      </c>
      <c r="G10" s="14">
        <v>45508</v>
      </c>
      <c r="H10" s="14"/>
      <c r="I10" s="14"/>
      <c r="J10" s="14"/>
      <c r="K10" s="14"/>
      <c r="L10" s="14"/>
      <c r="M10" s="14"/>
      <c r="N10" s="14"/>
      <c r="O10" s="14"/>
      <c r="P10" s="14"/>
      <c r="Q10" s="12"/>
    </row>
    <row r="11" spans="1:17" x14ac:dyDescent="0.3">
      <c r="A11" s="11">
        <v>5</v>
      </c>
      <c r="B11" s="12" t="s">
        <v>150</v>
      </c>
      <c r="C11" s="13">
        <f t="shared" si="0"/>
        <v>7</v>
      </c>
      <c r="D11" s="14">
        <v>7</v>
      </c>
      <c r="E11" s="14"/>
      <c r="F11" s="14">
        <v>18551</v>
      </c>
      <c r="G11" s="14">
        <v>18927</v>
      </c>
      <c r="H11" s="14"/>
      <c r="I11" s="14"/>
      <c r="J11" s="14"/>
      <c r="K11" s="14"/>
      <c r="L11" s="14"/>
      <c r="M11" s="14"/>
      <c r="N11" s="14"/>
      <c r="O11" s="14"/>
      <c r="P11" s="14"/>
      <c r="Q11" s="12"/>
    </row>
    <row r="12" spans="1:17" x14ac:dyDescent="0.3">
      <c r="A12" s="11">
        <v>6</v>
      </c>
      <c r="B12" s="12" t="s">
        <v>151</v>
      </c>
      <c r="C12" s="13">
        <f t="shared" si="0"/>
        <v>5671</v>
      </c>
      <c r="D12" s="14">
        <v>5644</v>
      </c>
      <c r="E12" s="14">
        <v>27</v>
      </c>
      <c r="F12" s="14">
        <v>15396829</v>
      </c>
      <c r="G12" s="14">
        <v>12375967</v>
      </c>
      <c r="H12" s="14">
        <v>45</v>
      </c>
      <c r="I12" s="14">
        <v>2696.2850000000008</v>
      </c>
      <c r="J12" s="14">
        <v>45</v>
      </c>
      <c r="K12" s="14">
        <v>2696.2850000000008</v>
      </c>
      <c r="L12" s="14"/>
      <c r="M12" s="14"/>
      <c r="N12" s="14"/>
      <c r="O12" s="14"/>
      <c r="P12" s="14"/>
      <c r="Q12" s="12"/>
    </row>
    <row r="13" spans="1:17" x14ac:dyDescent="0.3">
      <c r="A13" s="11">
        <v>7</v>
      </c>
      <c r="B13" s="12" t="s">
        <v>152</v>
      </c>
      <c r="C13" s="13">
        <f t="shared" si="0"/>
        <v>5515</v>
      </c>
      <c r="D13" s="14">
        <v>5500</v>
      </c>
      <c r="E13" s="14">
        <v>15</v>
      </c>
      <c r="F13" s="14">
        <v>13836560</v>
      </c>
      <c r="G13" s="14">
        <v>11093680</v>
      </c>
      <c r="H13" s="14">
        <v>34</v>
      </c>
      <c r="I13" s="14">
        <v>18599.815000000002</v>
      </c>
      <c r="J13" s="14">
        <v>34</v>
      </c>
      <c r="K13" s="14">
        <v>18599.815000000002</v>
      </c>
      <c r="L13" s="14"/>
      <c r="M13" s="14"/>
      <c r="N13" s="14"/>
      <c r="O13" s="14"/>
      <c r="P13" s="14"/>
      <c r="Q13" s="12"/>
    </row>
    <row r="14" spans="1:17" x14ac:dyDescent="0.3">
      <c r="A14" s="11">
        <v>8</v>
      </c>
      <c r="B14" s="12" t="s">
        <v>153</v>
      </c>
      <c r="C14" s="13">
        <f t="shared" si="0"/>
        <v>18879</v>
      </c>
      <c r="D14" s="14">
        <v>18839</v>
      </c>
      <c r="E14" s="14">
        <v>40</v>
      </c>
      <c r="F14" s="14">
        <v>48385905</v>
      </c>
      <c r="G14" s="14">
        <v>38535811</v>
      </c>
      <c r="H14" s="14">
        <v>86</v>
      </c>
      <c r="I14" s="14">
        <v>51950.945</v>
      </c>
      <c r="J14" s="14">
        <v>86</v>
      </c>
      <c r="K14" s="14">
        <v>51950.945</v>
      </c>
      <c r="L14" s="14"/>
      <c r="M14" s="14"/>
      <c r="N14" s="14"/>
      <c r="O14" s="14"/>
      <c r="P14" s="14"/>
      <c r="Q14" s="12"/>
    </row>
    <row r="15" spans="1:17" x14ac:dyDescent="0.3">
      <c r="A15" s="11">
        <v>9</v>
      </c>
      <c r="B15" s="12" t="s">
        <v>154</v>
      </c>
      <c r="C15" s="13">
        <f t="shared" si="0"/>
        <v>4757</v>
      </c>
      <c r="D15" s="14">
        <v>4753</v>
      </c>
      <c r="E15" s="14">
        <v>4</v>
      </c>
      <c r="F15" s="14">
        <v>11917343</v>
      </c>
      <c r="G15" s="14">
        <v>9672175</v>
      </c>
      <c r="H15" s="14">
        <v>40</v>
      </c>
      <c r="I15" s="14">
        <v>32103.999999999996</v>
      </c>
      <c r="J15" s="14">
        <v>40</v>
      </c>
      <c r="K15" s="14">
        <v>32103.999999999996</v>
      </c>
      <c r="L15" s="14"/>
      <c r="M15" s="14"/>
      <c r="N15" s="14"/>
      <c r="O15" s="14"/>
      <c r="P15" s="14"/>
      <c r="Q15" s="12"/>
    </row>
    <row r="16" spans="1:17" x14ac:dyDescent="0.3">
      <c r="A16" s="11">
        <v>10</v>
      </c>
      <c r="B16" s="12" t="s">
        <v>155</v>
      </c>
      <c r="C16" s="13">
        <f t="shared" si="0"/>
        <v>3305</v>
      </c>
      <c r="D16" s="14">
        <v>3300</v>
      </c>
      <c r="E16" s="14">
        <v>5</v>
      </c>
      <c r="F16" s="14">
        <v>8478408</v>
      </c>
      <c r="G16" s="14">
        <v>6839961</v>
      </c>
      <c r="H16" s="14">
        <v>13</v>
      </c>
      <c r="I16" s="14">
        <v>9778.4299999999985</v>
      </c>
      <c r="J16" s="14">
        <v>13</v>
      </c>
      <c r="K16" s="14">
        <v>9778.4299999999985</v>
      </c>
      <c r="L16" s="14"/>
      <c r="M16" s="14"/>
      <c r="N16" s="14"/>
      <c r="O16" s="14"/>
      <c r="P16" s="14"/>
      <c r="Q16" s="12"/>
    </row>
    <row r="17" spans="1:17" x14ac:dyDescent="0.3">
      <c r="A17" s="11">
        <v>11</v>
      </c>
      <c r="B17" s="12" t="s">
        <v>156</v>
      </c>
      <c r="C17" s="13">
        <f t="shared" si="0"/>
        <v>25143</v>
      </c>
      <c r="D17" s="14">
        <v>25094</v>
      </c>
      <c r="E17" s="14">
        <v>49</v>
      </c>
      <c r="F17" s="14">
        <v>72924295</v>
      </c>
      <c r="G17" s="14">
        <v>58276090</v>
      </c>
      <c r="H17" s="14">
        <v>94</v>
      </c>
      <c r="I17" s="14">
        <v>18206.2</v>
      </c>
      <c r="J17" s="14">
        <v>94</v>
      </c>
      <c r="K17" s="14">
        <v>18206.2</v>
      </c>
      <c r="L17" s="14"/>
      <c r="M17" s="14"/>
      <c r="N17" s="14"/>
      <c r="O17" s="14"/>
      <c r="P17" s="14"/>
      <c r="Q17" s="12"/>
    </row>
    <row r="18" spans="1:17" x14ac:dyDescent="0.3">
      <c r="A18" s="11">
        <v>12</v>
      </c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2"/>
    </row>
    <row r="19" spans="1:17" x14ac:dyDescent="0.3">
      <c r="A19" s="11">
        <v>13</v>
      </c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2"/>
    </row>
    <row r="20" spans="1:17" x14ac:dyDescent="0.3">
      <c r="A20" s="11">
        <v>14</v>
      </c>
      <c r="B20" s="12"/>
      <c r="C20" s="13" t="str">
        <f t="shared" si="0"/>
        <v/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2"/>
    </row>
    <row r="21" spans="1:17" x14ac:dyDescent="0.3">
      <c r="A21" s="11">
        <v>15</v>
      </c>
      <c r="B21" s="12"/>
      <c r="C21" s="13" t="str">
        <f t="shared" si="0"/>
        <v/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2"/>
    </row>
    <row r="22" spans="1:17" x14ac:dyDescent="0.3">
      <c r="A22" s="11">
        <v>16</v>
      </c>
      <c r="B22" s="12"/>
      <c r="C22" s="13" t="str">
        <f t="shared" si="0"/>
        <v/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2"/>
    </row>
    <row r="23" spans="1:17" x14ac:dyDescent="0.3">
      <c r="A23" s="11">
        <v>17</v>
      </c>
      <c r="B23" s="12"/>
      <c r="C23" s="13" t="str">
        <f t="shared" si="0"/>
        <v/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2"/>
    </row>
    <row r="24" spans="1:17" x14ac:dyDescent="0.3">
      <c r="A24" s="11">
        <v>18</v>
      </c>
      <c r="B24" s="12"/>
      <c r="C24" s="13" t="str">
        <f t="shared" si="0"/>
        <v/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2"/>
    </row>
    <row r="25" spans="1:17" x14ac:dyDescent="0.3">
      <c r="A25" s="11">
        <v>19</v>
      </c>
      <c r="B25" s="12"/>
      <c r="C25" s="13" t="str">
        <f t="shared" si="0"/>
        <v/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2"/>
    </row>
    <row r="26" spans="1:17" x14ac:dyDescent="0.3">
      <c r="A26" s="11">
        <v>20</v>
      </c>
      <c r="B26" s="12"/>
      <c r="C26" s="13" t="str">
        <f t="shared" si="0"/>
        <v/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2"/>
    </row>
    <row r="27" spans="1:17" x14ac:dyDescent="0.3">
      <c r="A27" s="11">
        <v>21</v>
      </c>
      <c r="B27" s="12"/>
      <c r="C27" s="13" t="str">
        <f t="shared" si="0"/>
        <v/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2"/>
    </row>
    <row r="28" spans="1:17" x14ac:dyDescent="0.3">
      <c r="A28" s="11">
        <v>22</v>
      </c>
      <c r="B28" s="12"/>
      <c r="C28" s="13" t="str">
        <f t="shared" si="0"/>
        <v/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2"/>
    </row>
    <row r="29" spans="1:17" x14ac:dyDescent="0.3">
      <c r="A29" s="11">
        <v>23</v>
      </c>
      <c r="B29" s="12"/>
      <c r="C29" s="13" t="str">
        <f t="shared" si="0"/>
        <v/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2"/>
    </row>
    <row r="30" spans="1:17" x14ac:dyDescent="0.3">
      <c r="A30" s="11">
        <v>24</v>
      </c>
      <c r="B30" s="12"/>
      <c r="C30" s="13" t="str">
        <f t="shared" si="0"/>
        <v/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2"/>
    </row>
    <row r="31" spans="1:17" x14ac:dyDescent="0.3">
      <c r="A31" s="11">
        <v>25</v>
      </c>
      <c r="B31" s="12"/>
      <c r="C31" s="13" t="str">
        <f t="shared" si="0"/>
        <v/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2"/>
    </row>
    <row r="32" spans="1:17" x14ac:dyDescent="0.3">
      <c r="A32" s="11">
        <v>26</v>
      </c>
      <c r="B32" s="12"/>
      <c r="C32" s="13" t="str">
        <f t="shared" si="0"/>
        <v/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2"/>
    </row>
    <row r="33" spans="1:17" x14ac:dyDescent="0.3">
      <c r="A33" s="11">
        <v>27</v>
      </c>
      <c r="B33" s="12"/>
      <c r="C33" s="13" t="str">
        <f t="shared" si="0"/>
        <v/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2"/>
    </row>
    <row r="34" spans="1:17" x14ac:dyDescent="0.3">
      <c r="A34" s="11">
        <v>28</v>
      </c>
      <c r="B34" s="12"/>
      <c r="C34" s="13" t="str">
        <f t="shared" si="0"/>
        <v/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2"/>
    </row>
    <row r="35" spans="1:17" x14ac:dyDescent="0.3">
      <c r="A35" s="11">
        <v>29</v>
      </c>
      <c r="B35" s="12"/>
      <c r="C35" s="13" t="str">
        <f t="shared" si="0"/>
        <v/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2"/>
    </row>
    <row r="36" spans="1:17" x14ac:dyDescent="0.3">
      <c r="A36" s="11">
        <v>30</v>
      </c>
      <c r="B36" s="12"/>
      <c r="C36" s="13" t="str">
        <f t="shared" si="0"/>
        <v/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2"/>
    </row>
    <row r="37" spans="1:17" x14ac:dyDescent="0.3">
      <c r="A37" s="11">
        <v>31</v>
      </c>
      <c r="B37" s="12"/>
      <c r="C37" s="13" t="str">
        <f t="shared" si="0"/>
        <v/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2"/>
    </row>
    <row r="38" spans="1:17" x14ac:dyDescent="0.3">
      <c r="A38" s="15"/>
      <c r="B38" s="16" t="s">
        <v>51</v>
      </c>
      <c r="C38" s="17">
        <f t="shared" ref="C38:P38" si="1">SUM(C8:C37)</f>
        <v>63337</v>
      </c>
      <c r="D38" s="17">
        <f t="shared" si="1"/>
        <v>63197</v>
      </c>
      <c r="E38" s="17">
        <f t="shared" si="1"/>
        <v>140</v>
      </c>
      <c r="F38" s="17">
        <f t="shared" si="1"/>
        <v>171115176</v>
      </c>
      <c r="G38" s="17">
        <f t="shared" si="1"/>
        <v>136936085</v>
      </c>
      <c r="H38" s="17">
        <f t="shared" si="1"/>
        <v>312</v>
      </c>
      <c r="I38" s="17">
        <f t="shared" si="1"/>
        <v>133335.67499999999</v>
      </c>
      <c r="J38" s="17">
        <f t="shared" si="1"/>
        <v>312</v>
      </c>
      <c r="K38" s="17">
        <f t="shared" si="1"/>
        <v>133335.67499999999</v>
      </c>
      <c r="L38" s="17">
        <f t="shared" si="1"/>
        <v>0</v>
      </c>
      <c r="M38" s="17">
        <f t="shared" si="1"/>
        <v>0</v>
      </c>
      <c r="N38" s="17">
        <f t="shared" si="1"/>
        <v>0</v>
      </c>
      <c r="O38" s="17">
        <f t="shared" si="1"/>
        <v>0</v>
      </c>
      <c r="P38" s="17">
        <f t="shared" si="1"/>
        <v>0</v>
      </c>
      <c r="Q38" s="15"/>
    </row>
    <row r="40" spans="1:17" x14ac:dyDescent="0.3">
      <c r="A40" s="18" t="s">
        <v>52</v>
      </c>
    </row>
  </sheetData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7" sqref="F7:F12"/>
    </sheetView>
  </sheetViews>
  <sheetFormatPr defaultColWidth="8.6640625" defaultRowHeight="14.4" x14ac:dyDescent="0.3"/>
  <cols>
    <col min="1" max="1" width="5" customWidth="1"/>
    <col min="2" max="2" width="30" customWidth="1"/>
    <col min="3" max="3" width="14" customWidth="1"/>
    <col min="4" max="4" width="11" customWidth="1"/>
    <col min="5" max="5" width="18" customWidth="1"/>
    <col min="6" max="7" width="14" customWidth="1"/>
    <col min="8" max="8" width="22" customWidth="1"/>
  </cols>
  <sheetData>
    <row r="1" spans="1:8" ht="16.8" x14ac:dyDescent="0.3">
      <c r="A1" s="27" t="s">
        <v>53</v>
      </c>
      <c r="B1" s="27"/>
      <c r="C1" s="27"/>
      <c r="D1" s="27"/>
      <c r="E1" s="27"/>
      <c r="F1" s="27"/>
      <c r="G1" s="27"/>
      <c r="H1" s="27"/>
    </row>
    <row r="2" spans="1:8" x14ac:dyDescent="0.3">
      <c r="A2" s="28" t="s">
        <v>54</v>
      </c>
      <c r="B2" s="28"/>
      <c r="C2" s="28"/>
      <c r="D2" s="28"/>
      <c r="E2" s="28"/>
      <c r="F2" s="28"/>
      <c r="G2" s="28"/>
      <c r="H2" s="28"/>
    </row>
    <row r="3" spans="1:8" x14ac:dyDescent="0.3">
      <c r="A3" s="4" t="s">
        <v>14</v>
      </c>
      <c r="C3" s="5"/>
    </row>
    <row r="5" spans="1:8" ht="75" customHeight="1" x14ac:dyDescent="0.3">
      <c r="A5" s="6" t="s">
        <v>15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22</v>
      </c>
      <c r="G5" s="6" t="s">
        <v>59</v>
      </c>
      <c r="H5" s="6" t="s">
        <v>30</v>
      </c>
    </row>
    <row r="6" spans="1:8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</row>
    <row r="7" spans="1:8" x14ac:dyDescent="0.3">
      <c r="A7" s="19">
        <v>1</v>
      </c>
      <c r="B7" s="19" t="s">
        <v>60</v>
      </c>
      <c r="C7" s="14">
        <v>5881</v>
      </c>
      <c r="D7" s="20">
        <f t="shared" ref="D7:D12" si="0">IF(SUM($C$7:$C$12)=0,"",C7/SUM($C$7:$C$12))</f>
        <v>9.2852519064685723E-2</v>
      </c>
      <c r="E7" s="14">
        <v>1185288</v>
      </c>
      <c r="F7" s="14"/>
      <c r="G7" s="14"/>
      <c r="H7" s="12"/>
    </row>
    <row r="8" spans="1:8" x14ac:dyDescent="0.3">
      <c r="A8" s="19">
        <v>2</v>
      </c>
      <c r="B8" s="19" t="s">
        <v>61</v>
      </c>
      <c r="C8" s="14">
        <v>21867</v>
      </c>
      <c r="D8" s="20">
        <f t="shared" si="0"/>
        <v>0.34524843298545876</v>
      </c>
      <c r="E8" s="14">
        <v>39973680</v>
      </c>
      <c r="F8" s="14"/>
      <c r="G8" s="14"/>
      <c r="H8" s="12"/>
    </row>
    <row r="9" spans="1:8" x14ac:dyDescent="0.3">
      <c r="A9" s="19">
        <v>3</v>
      </c>
      <c r="B9" s="19" t="s">
        <v>62</v>
      </c>
      <c r="C9" s="14">
        <v>15768</v>
      </c>
      <c r="D9" s="20">
        <f t="shared" si="0"/>
        <v>0.24895400792585692</v>
      </c>
      <c r="E9" s="14">
        <v>46264368</v>
      </c>
      <c r="F9" s="14"/>
      <c r="G9" s="14"/>
      <c r="H9" s="12"/>
    </row>
    <row r="10" spans="1:8" x14ac:dyDescent="0.3">
      <c r="A10" s="19">
        <v>4</v>
      </c>
      <c r="B10" s="19" t="s">
        <v>63</v>
      </c>
      <c r="C10" s="14">
        <v>7258</v>
      </c>
      <c r="D10" s="20">
        <f t="shared" si="0"/>
        <v>0.114593365647252</v>
      </c>
      <c r="E10" s="14">
        <v>29889996</v>
      </c>
      <c r="F10" s="14"/>
      <c r="G10" s="14"/>
      <c r="H10" s="12"/>
    </row>
    <row r="11" spans="1:8" x14ac:dyDescent="0.3">
      <c r="A11" s="19">
        <v>5</v>
      </c>
      <c r="B11" s="19" t="s">
        <v>64</v>
      </c>
      <c r="C11" s="14">
        <v>6888</v>
      </c>
      <c r="D11" s="20">
        <f t="shared" si="0"/>
        <v>0.10875159859166049</v>
      </c>
      <c r="E11" s="14">
        <v>50357544</v>
      </c>
      <c r="F11" s="14"/>
      <c r="G11" s="14"/>
      <c r="H11" s="12"/>
    </row>
    <row r="12" spans="1:8" x14ac:dyDescent="0.3">
      <c r="A12" s="19">
        <v>6</v>
      </c>
      <c r="B12" s="19" t="s">
        <v>65</v>
      </c>
      <c r="C12" s="14">
        <v>5675</v>
      </c>
      <c r="D12" s="20">
        <f t="shared" si="0"/>
        <v>8.9600075785086122E-2</v>
      </c>
      <c r="E12" s="14">
        <v>5345496</v>
      </c>
      <c r="F12" s="14"/>
      <c r="G12" s="14"/>
      <c r="H12" s="12"/>
    </row>
    <row r="13" spans="1:8" x14ac:dyDescent="0.3">
      <c r="A13" s="15"/>
      <c r="B13" s="16" t="s">
        <v>51</v>
      </c>
      <c r="C13" s="17">
        <f>SUM(C7:C12)</f>
        <v>63337</v>
      </c>
      <c r="D13" s="21">
        <f>IF(SUM(C7:C12)=0,"",SUM(D7:D12))</f>
        <v>1</v>
      </c>
      <c r="E13" s="17">
        <f>SUM(E7:E12)</f>
        <v>173016372</v>
      </c>
      <c r="F13" s="17">
        <f>SUM(F7:F12)</f>
        <v>0</v>
      </c>
      <c r="G13" s="17">
        <f>SUM(G7:G12)</f>
        <v>0</v>
      </c>
      <c r="H13" s="15"/>
    </row>
    <row r="15" spans="1:8" x14ac:dyDescent="0.3">
      <c r="A15" s="18" t="s">
        <v>66</v>
      </c>
    </row>
    <row r="16" spans="1:8" x14ac:dyDescent="0.3">
      <c r="A16" s="18" t="s">
        <v>67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zoomScaleNormal="100" workbookViewId="0">
      <pane xSplit="2" ySplit="6" topLeftCell="D7" activePane="bottomRight" state="frozen"/>
      <selection pane="topRight" activeCell="C1" sqref="C1"/>
      <selection pane="bottomLeft" activeCell="A7" sqref="A7"/>
      <selection pane="bottomRight" activeCell="H14" sqref="H14"/>
    </sheetView>
  </sheetViews>
  <sheetFormatPr defaultColWidth="8.6640625" defaultRowHeight="14.4" x14ac:dyDescent="0.3"/>
  <cols>
    <col min="1" max="1" width="5" customWidth="1"/>
    <col min="2" max="2" width="24" customWidth="1"/>
    <col min="3" max="3" width="13" customWidth="1"/>
    <col min="4" max="4" width="14" customWidth="1"/>
    <col min="5" max="5" width="15" customWidth="1"/>
    <col min="6" max="6" width="17.5546875" customWidth="1"/>
    <col min="7" max="7" width="18" customWidth="1"/>
    <col min="8" max="8" width="16" customWidth="1"/>
    <col min="9" max="9" width="86" bestFit="1" customWidth="1"/>
    <col min="10" max="10" width="20" customWidth="1"/>
  </cols>
  <sheetData>
    <row r="1" spans="1:10" ht="16.8" x14ac:dyDescent="0.3">
      <c r="A1" s="27" t="s">
        <v>68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8" t="s">
        <v>69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3">
      <c r="A3" s="4" t="s">
        <v>14</v>
      </c>
      <c r="C3" s="5"/>
    </row>
    <row r="5" spans="1:10" ht="75" customHeight="1" x14ac:dyDescent="0.3">
      <c r="A5" s="6" t="s">
        <v>15</v>
      </c>
      <c r="B5" s="6" t="s">
        <v>16</v>
      </c>
      <c r="C5" s="6" t="s">
        <v>70</v>
      </c>
      <c r="D5" s="6" t="s">
        <v>71</v>
      </c>
      <c r="E5" s="6" t="s">
        <v>72</v>
      </c>
      <c r="F5" s="6" t="s">
        <v>146</v>
      </c>
      <c r="G5" s="6" t="s">
        <v>73</v>
      </c>
      <c r="H5" s="6" t="s">
        <v>74</v>
      </c>
      <c r="I5" s="6" t="s">
        <v>75</v>
      </c>
      <c r="J5" s="6" t="s">
        <v>30</v>
      </c>
    </row>
    <row r="6" spans="1:10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40</v>
      </c>
    </row>
    <row r="7" spans="1:10" x14ac:dyDescent="0.3">
      <c r="A7" s="8" t="s">
        <v>48</v>
      </c>
      <c r="B7" s="9" t="s">
        <v>49</v>
      </c>
      <c r="C7" s="10">
        <v>85</v>
      </c>
      <c r="D7" s="10">
        <v>32500</v>
      </c>
      <c r="E7" s="10">
        <v>1260</v>
      </c>
      <c r="F7" s="10">
        <v>3</v>
      </c>
      <c r="G7" s="10">
        <v>2</v>
      </c>
      <c r="H7" s="10">
        <v>800</v>
      </c>
      <c r="I7" s="9" t="s">
        <v>76</v>
      </c>
      <c r="J7" s="9" t="s">
        <v>50</v>
      </c>
    </row>
    <row r="8" spans="1:10" x14ac:dyDescent="0.3">
      <c r="A8" s="11">
        <v>2</v>
      </c>
      <c r="B8" s="12" t="s">
        <v>151</v>
      </c>
      <c r="C8" s="14">
        <f>COUNTIFS(Bieu03A_DS_TBA!B:B,Bieu03!B8)</f>
        <v>102</v>
      </c>
      <c r="D8" s="14">
        <f>SUMIFS(Bieu03A_DS_TBA!E:E,Bieu03A_DS_TBA!B:B,Bieu03!B8)</f>
        <v>20195</v>
      </c>
      <c r="E8" s="14">
        <f>SUMIFS(Bieu03A_DS_TBA!G:G,Bieu03A_DS_TBA!B:B,Bieu03!B8)</f>
        <v>1151.0050000000001</v>
      </c>
      <c r="F8" s="14">
        <v>102</v>
      </c>
      <c r="G8" s="14"/>
      <c r="H8" s="14">
        <v>2000</v>
      </c>
      <c r="I8" s="25" t="s">
        <v>1885</v>
      </c>
      <c r="J8" s="12"/>
    </row>
    <row r="9" spans="1:10" x14ac:dyDescent="0.3">
      <c r="A9" s="11">
        <v>3</v>
      </c>
      <c r="B9" s="12" t="s">
        <v>152</v>
      </c>
      <c r="C9" s="14">
        <f>COUNTIFS(Bieu03A_DS_TBA!B:B,Bieu03!B9)</f>
        <v>102</v>
      </c>
      <c r="D9" s="14">
        <f>SUMIFS(Bieu03A_DS_TBA!E:E,Bieu03A_DS_TBA!B:B,Bieu03!B9)</f>
        <v>15875</v>
      </c>
      <c r="E9" s="14">
        <f>SUMIFS(Bieu03A_DS_TBA!G:G,Bieu03A_DS_TBA!B:B,Bieu03!B9)</f>
        <v>193.26499999999999</v>
      </c>
      <c r="F9" s="14">
        <v>102</v>
      </c>
      <c r="G9" s="14"/>
      <c r="H9" s="14">
        <v>1500</v>
      </c>
      <c r="I9" s="25" t="s">
        <v>1887</v>
      </c>
      <c r="J9" s="12"/>
    </row>
    <row r="10" spans="1:10" x14ac:dyDescent="0.3">
      <c r="A10" s="11">
        <v>4</v>
      </c>
      <c r="B10" s="12" t="s">
        <v>153</v>
      </c>
      <c r="C10" s="14">
        <f>COUNTIFS(Bieu03A_DS_TBA!B:B,Bieu03!B10)</f>
        <v>167</v>
      </c>
      <c r="D10" s="14">
        <f>SUMIFS(Bieu03A_DS_TBA!E:E,Bieu03A_DS_TBA!B:B,Bieu03!B10)</f>
        <v>30750</v>
      </c>
      <c r="E10" s="14">
        <f>SUMIFS(Bieu03A_DS_TBA!G:G,Bieu03A_DS_TBA!B:B,Bieu03!B10)</f>
        <v>798.9749999999998</v>
      </c>
      <c r="F10" s="14">
        <v>167</v>
      </c>
      <c r="G10" s="14"/>
      <c r="H10" s="14">
        <v>3000</v>
      </c>
      <c r="I10" s="25" t="s">
        <v>1886</v>
      </c>
      <c r="J10" s="12"/>
    </row>
    <row r="11" spans="1:10" x14ac:dyDescent="0.3">
      <c r="A11" s="11">
        <v>5</v>
      </c>
      <c r="B11" s="12" t="s">
        <v>154</v>
      </c>
      <c r="C11" s="14">
        <f>COUNTIFS(Bieu03A_DS_TBA!B:B,Bieu03!B11)</f>
        <v>83</v>
      </c>
      <c r="D11" s="14">
        <f>SUMIFS(Bieu03A_DS_TBA!E:E,Bieu03A_DS_TBA!B:B,Bieu03!B11)</f>
        <v>10365</v>
      </c>
      <c r="E11" s="14">
        <f>SUMIFS(Bieu03A_DS_TBA!G:G,Bieu03A_DS_TBA!B:B,Bieu03!B11)</f>
        <v>114.47999999999999</v>
      </c>
      <c r="F11" s="14">
        <v>83</v>
      </c>
      <c r="G11" s="14"/>
      <c r="H11" s="14">
        <v>1000</v>
      </c>
      <c r="I11" s="25" t="s">
        <v>1888</v>
      </c>
      <c r="J11" s="12"/>
    </row>
    <row r="12" spans="1:10" x14ac:dyDescent="0.3">
      <c r="A12" s="11">
        <v>6</v>
      </c>
      <c r="B12" s="12" t="s">
        <v>155</v>
      </c>
      <c r="C12" s="14">
        <f>COUNTIFS(Bieu03A_DS_TBA!B:B,Bieu03!B12)</f>
        <v>103</v>
      </c>
      <c r="D12" s="14">
        <f>SUMIFS(Bieu03A_DS_TBA!E:E,Bieu03A_DS_TBA!B:B,Bieu03!B12)</f>
        <v>13845</v>
      </c>
      <c r="E12" s="14">
        <f>SUMIFS(Bieu03A_DS_TBA!G:G,Bieu03A_DS_TBA!B:B,Bieu03!B12)</f>
        <v>24.37</v>
      </c>
      <c r="F12" s="14">
        <v>103</v>
      </c>
      <c r="G12" s="14"/>
      <c r="H12" s="14">
        <v>1000</v>
      </c>
      <c r="I12" s="25" t="s">
        <v>1884</v>
      </c>
      <c r="J12" s="12"/>
    </row>
    <row r="13" spans="1:10" x14ac:dyDescent="0.3">
      <c r="A13" s="11">
        <v>7</v>
      </c>
      <c r="B13" s="12" t="s">
        <v>156</v>
      </c>
      <c r="C13" s="14">
        <f>COUNTIFS(Bieu03A_DS_TBA!B:B,Bieu03!B13)</f>
        <v>282</v>
      </c>
      <c r="D13" s="14">
        <f>SUMIFS(Bieu03A_DS_TBA!E:E,Bieu03A_DS_TBA!B:B,Bieu03!B13)</f>
        <v>48990</v>
      </c>
      <c r="E13" s="14">
        <f>SUMIFS(Bieu03A_DS_TBA!G:G,Bieu03A_DS_TBA!B:B,Bieu03!B13)</f>
        <v>1382.81</v>
      </c>
      <c r="F13" s="14">
        <v>282</v>
      </c>
      <c r="G13" s="14"/>
      <c r="H13" s="14">
        <v>4000</v>
      </c>
      <c r="I13" s="25" t="s">
        <v>1883</v>
      </c>
      <c r="J13" s="12"/>
    </row>
    <row r="14" spans="1:10" x14ac:dyDescent="0.3">
      <c r="A14" s="11">
        <v>8</v>
      </c>
      <c r="B14" s="12"/>
      <c r="C14" s="14"/>
      <c r="D14" s="14"/>
      <c r="E14" s="14"/>
      <c r="F14" s="14"/>
      <c r="G14" s="14"/>
      <c r="H14" s="14"/>
      <c r="I14" s="12"/>
      <c r="J14" s="12"/>
    </row>
    <row r="15" spans="1:10" x14ac:dyDescent="0.3">
      <c r="A15" s="11">
        <v>9</v>
      </c>
      <c r="B15" s="12"/>
      <c r="C15" s="14"/>
      <c r="D15" s="14"/>
      <c r="E15" s="14"/>
      <c r="F15" s="14"/>
      <c r="G15" s="14"/>
      <c r="H15" s="14"/>
      <c r="I15" s="12"/>
      <c r="J15" s="12"/>
    </row>
    <row r="16" spans="1:10" x14ac:dyDescent="0.3">
      <c r="A16" s="11">
        <v>10</v>
      </c>
      <c r="B16" s="12"/>
      <c r="C16" s="14"/>
      <c r="D16" s="14"/>
      <c r="E16" s="14"/>
      <c r="F16" s="14"/>
      <c r="G16" s="14"/>
      <c r="H16" s="14"/>
      <c r="I16" s="12"/>
      <c r="J16" s="12"/>
    </row>
    <row r="17" spans="1:10" x14ac:dyDescent="0.3">
      <c r="A17" s="11">
        <v>11</v>
      </c>
      <c r="B17" s="12"/>
      <c r="C17" s="14"/>
      <c r="D17" s="14"/>
      <c r="E17" s="14"/>
      <c r="F17" s="14"/>
      <c r="G17" s="14"/>
      <c r="H17" s="14"/>
      <c r="I17" s="12"/>
      <c r="J17" s="12"/>
    </row>
    <row r="18" spans="1:10" x14ac:dyDescent="0.3">
      <c r="A18" s="11">
        <v>12</v>
      </c>
      <c r="B18" s="12"/>
      <c r="C18" s="14"/>
      <c r="D18" s="14"/>
      <c r="E18" s="14"/>
      <c r="F18" s="14"/>
      <c r="G18" s="14"/>
      <c r="H18" s="14"/>
      <c r="I18" s="12"/>
      <c r="J18" s="12"/>
    </row>
    <row r="19" spans="1:10" x14ac:dyDescent="0.3">
      <c r="A19" s="11">
        <v>13</v>
      </c>
      <c r="B19" s="12"/>
      <c r="C19" s="14"/>
      <c r="D19" s="14"/>
      <c r="E19" s="14"/>
      <c r="F19" s="14"/>
      <c r="G19" s="14"/>
      <c r="H19" s="14"/>
      <c r="I19" s="12"/>
      <c r="J19" s="12"/>
    </row>
    <row r="20" spans="1:10" x14ac:dyDescent="0.3">
      <c r="A20" s="11">
        <v>14</v>
      </c>
      <c r="B20" s="12"/>
      <c r="C20" s="14"/>
      <c r="D20" s="14"/>
      <c r="E20" s="14"/>
      <c r="F20" s="14"/>
      <c r="G20" s="14"/>
      <c r="H20" s="14"/>
      <c r="I20" s="12"/>
      <c r="J20" s="12"/>
    </row>
    <row r="21" spans="1:10" x14ac:dyDescent="0.3">
      <c r="A21" s="11">
        <v>15</v>
      </c>
      <c r="B21" s="12"/>
      <c r="C21" s="14"/>
      <c r="D21" s="14"/>
      <c r="E21" s="14"/>
      <c r="F21" s="14"/>
      <c r="G21" s="14"/>
      <c r="H21" s="14"/>
      <c r="I21" s="12"/>
      <c r="J21" s="12"/>
    </row>
    <row r="22" spans="1:10" x14ac:dyDescent="0.3">
      <c r="A22" s="11">
        <v>16</v>
      </c>
      <c r="B22" s="12"/>
      <c r="C22" s="14"/>
      <c r="D22" s="14"/>
      <c r="E22" s="14"/>
      <c r="F22" s="14"/>
      <c r="G22" s="14"/>
      <c r="H22" s="14"/>
      <c r="I22" s="12"/>
      <c r="J22" s="12"/>
    </row>
    <row r="23" spans="1:10" x14ac:dyDescent="0.3">
      <c r="A23" s="11">
        <v>17</v>
      </c>
      <c r="B23" s="12"/>
      <c r="C23" s="14"/>
      <c r="D23" s="14"/>
      <c r="E23" s="14"/>
      <c r="F23" s="14"/>
      <c r="G23" s="14"/>
      <c r="H23" s="14"/>
      <c r="I23" s="12"/>
      <c r="J23" s="12"/>
    </row>
    <row r="24" spans="1:10" x14ac:dyDescent="0.3">
      <c r="A24" s="11">
        <v>18</v>
      </c>
      <c r="B24" s="12"/>
      <c r="C24" s="14"/>
      <c r="D24" s="14"/>
      <c r="E24" s="14"/>
      <c r="F24" s="14"/>
      <c r="G24" s="14"/>
      <c r="H24" s="14"/>
      <c r="I24" s="12"/>
      <c r="J24" s="12"/>
    </row>
    <row r="25" spans="1:10" x14ac:dyDescent="0.3">
      <c r="A25" s="11">
        <v>19</v>
      </c>
      <c r="B25" s="12"/>
      <c r="C25" s="14"/>
      <c r="D25" s="14"/>
      <c r="E25" s="14"/>
      <c r="F25" s="14"/>
      <c r="G25" s="14"/>
      <c r="H25" s="14"/>
      <c r="I25" s="12"/>
      <c r="J25" s="12"/>
    </row>
    <row r="26" spans="1:10" x14ac:dyDescent="0.3">
      <c r="A26" s="11">
        <v>20</v>
      </c>
      <c r="B26" s="12"/>
      <c r="C26" s="14"/>
      <c r="D26" s="14"/>
      <c r="E26" s="14"/>
      <c r="F26" s="14"/>
      <c r="G26" s="14"/>
      <c r="H26" s="14"/>
      <c r="I26" s="12"/>
      <c r="J26" s="12"/>
    </row>
    <row r="27" spans="1:10" x14ac:dyDescent="0.3">
      <c r="A27" s="11">
        <v>21</v>
      </c>
      <c r="B27" s="12"/>
      <c r="C27" s="14"/>
      <c r="D27" s="14"/>
      <c r="E27" s="14"/>
      <c r="F27" s="14"/>
      <c r="G27" s="14"/>
      <c r="H27" s="14"/>
      <c r="I27" s="12"/>
      <c r="J27" s="12"/>
    </row>
    <row r="28" spans="1:10" x14ac:dyDescent="0.3">
      <c r="A28" s="11">
        <v>22</v>
      </c>
      <c r="B28" s="12"/>
      <c r="C28" s="14"/>
      <c r="D28" s="14"/>
      <c r="E28" s="14"/>
      <c r="F28" s="14"/>
      <c r="G28" s="14"/>
      <c r="H28" s="14"/>
      <c r="I28" s="12"/>
      <c r="J28" s="12"/>
    </row>
    <row r="29" spans="1:10" x14ac:dyDescent="0.3">
      <c r="A29" s="11">
        <v>23</v>
      </c>
      <c r="B29" s="12"/>
      <c r="C29" s="14"/>
      <c r="D29" s="14"/>
      <c r="E29" s="14"/>
      <c r="F29" s="14"/>
      <c r="G29" s="14"/>
      <c r="H29" s="14"/>
      <c r="I29" s="12"/>
      <c r="J29" s="12"/>
    </row>
    <row r="30" spans="1:10" x14ac:dyDescent="0.3">
      <c r="A30" s="11">
        <v>24</v>
      </c>
      <c r="B30" s="12"/>
      <c r="C30" s="14"/>
      <c r="D30" s="14"/>
      <c r="E30" s="14"/>
      <c r="F30" s="14"/>
      <c r="G30" s="14"/>
      <c r="H30" s="14"/>
      <c r="I30" s="12"/>
      <c r="J30" s="12"/>
    </row>
    <row r="31" spans="1:10" x14ac:dyDescent="0.3">
      <c r="A31" s="11">
        <v>25</v>
      </c>
      <c r="B31" s="12"/>
      <c r="C31" s="14"/>
      <c r="D31" s="14"/>
      <c r="E31" s="14"/>
      <c r="F31" s="14"/>
      <c r="G31" s="14"/>
      <c r="H31" s="14"/>
      <c r="I31" s="12"/>
      <c r="J31" s="12"/>
    </row>
    <row r="32" spans="1:10" x14ac:dyDescent="0.3">
      <c r="A32" s="11">
        <v>26</v>
      </c>
      <c r="B32" s="12"/>
      <c r="C32" s="14"/>
      <c r="D32" s="14"/>
      <c r="E32" s="14"/>
      <c r="F32" s="14"/>
      <c r="G32" s="14"/>
      <c r="H32" s="14"/>
      <c r="I32" s="12"/>
      <c r="J32" s="12"/>
    </row>
    <row r="33" spans="1:10" x14ac:dyDescent="0.3">
      <c r="A33" s="11">
        <v>27</v>
      </c>
      <c r="B33" s="12"/>
      <c r="C33" s="14"/>
      <c r="D33" s="14"/>
      <c r="E33" s="14"/>
      <c r="F33" s="14"/>
      <c r="G33" s="14"/>
      <c r="H33" s="14"/>
      <c r="I33" s="12"/>
      <c r="J33" s="12"/>
    </row>
    <row r="34" spans="1:10" x14ac:dyDescent="0.3">
      <c r="A34" s="11">
        <v>28</v>
      </c>
      <c r="B34" s="12"/>
      <c r="C34" s="14"/>
      <c r="D34" s="14"/>
      <c r="E34" s="14"/>
      <c r="F34" s="14"/>
      <c r="G34" s="14"/>
      <c r="H34" s="14"/>
      <c r="I34" s="12"/>
      <c r="J34" s="12"/>
    </row>
    <row r="35" spans="1:10" x14ac:dyDescent="0.3">
      <c r="A35" s="11">
        <v>29</v>
      </c>
      <c r="B35" s="12"/>
      <c r="C35" s="14"/>
      <c r="D35" s="14"/>
      <c r="E35" s="14"/>
      <c r="F35" s="14"/>
      <c r="G35" s="14"/>
      <c r="H35" s="14"/>
      <c r="I35" s="12"/>
      <c r="J35" s="12"/>
    </row>
    <row r="36" spans="1:10" x14ac:dyDescent="0.3">
      <c r="A36" s="11">
        <v>30</v>
      </c>
      <c r="B36" s="12"/>
      <c r="C36" s="14"/>
      <c r="D36" s="14"/>
      <c r="E36" s="14"/>
      <c r="F36" s="14"/>
      <c r="G36" s="14"/>
      <c r="H36" s="14"/>
      <c r="I36" s="12"/>
      <c r="J36" s="12"/>
    </row>
    <row r="37" spans="1:10" x14ac:dyDescent="0.3">
      <c r="A37" s="11">
        <v>31</v>
      </c>
      <c r="B37" s="12"/>
      <c r="C37" s="14"/>
      <c r="D37" s="14"/>
      <c r="E37" s="14"/>
      <c r="F37" s="14"/>
      <c r="G37" s="14"/>
      <c r="H37" s="14"/>
      <c r="I37" s="12"/>
      <c r="J37" s="12"/>
    </row>
    <row r="38" spans="1:10" x14ac:dyDescent="0.3">
      <c r="A38" s="15"/>
      <c r="B38" s="16" t="s">
        <v>51</v>
      </c>
      <c r="C38" s="17">
        <f t="shared" ref="C38:H38" si="0">SUM(C8:C37)</f>
        <v>839</v>
      </c>
      <c r="D38" s="17">
        <f t="shared" si="0"/>
        <v>140020</v>
      </c>
      <c r="E38" s="17">
        <f t="shared" si="0"/>
        <v>3664.9049999999997</v>
      </c>
      <c r="F38" s="17">
        <f t="shared" si="0"/>
        <v>839</v>
      </c>
      <c r="G38" s="17">
        <f t="shared" si="0"/>
        <v>0</v>
      </c>
      <c r="H38" s="17">
        <f t="shared" si="0"/>
        <v>12500</v>
      </c>
      <c r="I38" s="15"/>
      <c r="J38" s="15"/>
    </row>
    <row r="40" spans="1:10" x14ac:dyDescent="0.3">
      <c r="A40" s="18" t="s">
        <v>77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46"/>
  <sheetViews>
    <sheetView zoomScaleNormal="100" workbookViewId="0">
      <pane xSplit="2" ySplit="6" topLeftCell="C765" activePane="bottomRight" state="frozen"/>
      <selection pane="topRight" activeCell="C1" sqref="C1"/>
      <selection pane="bottomLeft" activeCell="A7" sqref="A7"/>
      <selection pane="bottomRight" activeCell="D846" sqref="D846"/>
    </sheetView>
  </sheetViews>
  <sheetFormatPr defaultColWidth="8.6640625" defaultRowHeight="14.4" x14ac:dyDescent="0.3"/>
  <cols>
    <col min="1" max="1" width="5" customWidth="1"/>
    <col min="2" max="3" width="22" customWidth="1"/>
    <col min="4" max="4" width="26" customWidth="1"/>
    <col min="5" max="5" width="13" customWidth="1"/>
    <col min="6" max="6" width="14" customWidth="1"/>
    <col min="7" max="7" width="16" customWidth="1"/>
    <col min="8" max="8" width="24" customWidth="1"/>
    <col min="9" max="9" width="20" customWidth="1"/>
  </cols>
  <sheetData>
    <row r="1" spans="1:9" ht="16.8" x14ac:dyDescent="0.3">
      <c r="A1" s="27" t="s">
        <v>144</v>
      </c>
      <c r="B1" s="27"/>
      <c r="C1" s="27"/>
      <c r="D1" s="27"/>
      <c r="E1" s="27"/>
      <c r="F1" s="27"/>
      <c r="G1" s="27"/>
      <c r="H1" s="27"/>
      <c r="I1" s="27"/>
    </row>
    <row r="2" spans="1:9" x14ac:dyDescent="0.3">
      <c r="A2" s="28" t="s">
        <v>69</v>
      </c>
      <c r="B2" s="28"/>
      <c r="C2" s="28"/>
      <c r="D2" s="28"/>
      <c r="E2" s="28"/>
      <c r="F2" s="28"/>
      <c r="G2" s="28"/>
      <c r="H2" s="28"/>
      <c r="I2" s="28"/>
    </row>
    <row r="3" spans="1:9" x14ac:dyDescent="0.3">
      <c r="A3" s="4" t="s">
        <v>14</v>
      </c>
      <c r="C3" s="5"/>
    </row>
    <row r="5" spans="1:9" ht="75" customHeight="1" x14ac:dyDescent="0.3">
      <c r="A5" s="6" t="s">
        <v>15</v>
      </c>
      <c r="B5" s="6" t="s">
        <v>16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6" t="s">
        <v>145</v>
      </c>
      <c r="I5" s="6" t="s">
        <v>30</v>
      </c>
    </row>
    <row r="6" spans="1:9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</row>
    <row r="7" spans="1:9" x14ac:dyDescent="0.3">
      <c r="A7" s="8" t="s">
        <v>48</v>
      </c>
      <c r="B7" s="9" t="s">
        <v>49</v>
      </c>
      <c r="C7" s="9" t="s">
        <v>83</v>
      </c>
      <c r="D7" s="9" t="s">
        <v>84</v>
      </c>
      <c r="E7" s="10">
        <v>250</v>
      </c>
      <c r="F7" s="22">
        <v>1.1200000000000001</v>
      </c>
      <c r="G7" s="10">
        <v>95</v>
      </c>
      <c r="H7" s="9" t="s">
        <v>143</v>
      </c>
      <c r="I7" s="9" t="s">
        <v>50</v>
      </c>
    </row>
    <row r="8" spans="1:9" x14ac:dyDescent="0.3">
      <c r="A8" s="11">
        <v>2</v>
      </c>
      <c r="B8" s="12" t="s">
        <v>153</v>
      </c>
      <c r="C8" s="12" t="s">
        <v>776</v>
      </c>
      <c r="D8" s="12" t="s">
        <v>1616</v>
      </c>
      <c r="E8" s="14">
        <v>200</v>
      </c>
      <c r="F8" s="23">
        <v>0.72</v>
      </c>
      <c r="G8" s="14">
        <v>0</v>
      </c>
      <c r="H8" s="25" t="s">
        <v>1615</v>
      </c>
      <c r="I8" s="12"/>
    </row>
    <row r="9" spans="1:9" x14ac:dyDescent="0.3">
      <c r="A9" s="11">
        <v>3</v>
      </c>
      <c r="B9" s="12" t="s">
        <v>153</v>
      </c>
      <c r="C9" s="12" t="s">
        <v>777</v>
      </c>
      <c r="D9" s="12" t="s">
        <v>1616</v>
      </c>
      <c r="E9" s="14">
        <v>100</v>
      </c>
      <c r="F9" s="23">
        <v>0.69</v>
      </c>
      <c r="G9" s="14">
        <v>0</v>
      </c>
      <c r="H9" s="25" t="s">
        <v>1615</v>
      </c>
      <c r="I9" s="12"/>
    </row>
    <row r="10" spans="1:9" x14ac:dyDescent="0.3">
      <c r="A10" s="11">
        <v>4</v>
      </c>
      <c r="B10" s="12" t="s">
        <v>153</v>
      </c>
      <c r="C10" s="12" t="s">
        <v>778</v>
      </c>
      <c r="D10" s="12" t="s">
        <v>1616</v>
      </c>
      <c r="E10" s="14">
        <v>100</v>
      </c>
      <c r="F10" s="23">
        <v>0.69</v>
      </c>
      <c r="G10" s="14">
        <v>0</v>
      </c>
      <c r="H10" s="25" t="s">
        <v>1615</v>
      </c>
      <c r="I10" s="12"/>
    </row>
    <row r="11" spans="1:9" x14ac:dyDescent="0.3">
      <c r="A11" s="11">
        <v>5</v>
      </c>
      <c r="B11" s="12" t="s">
        <v>156</v>
      </c>
      <c r="C11" s="12" t="s">
        <v>779</v>
      </c>
      <c r="D11" s="12" t="s">
        <v>1617</v>
      </c>
      <c r="E11" s="14">
        <v>150</v>
      </c>
      <c r="F11" s="23">
        <v>0.71</v>
      </c>
      <c r="G11" s="14">
        <v>3.12</v>
      </c>
      <c r="H11" s="25" t="s">
        <v>1615</v>
      </c>
      <c r="I11" s="12"/>
    </row>
    <row r="12" spans="1:9" x14ac:dyDescent="0.3">
      <c r="A12" s="11">
        <v>6</v>
      </c>
      <c r="B12" s="12" t="s">
        <v>156</v>
      </c>
      <c r="C12" s="12" t="s">
        <v>780</v>
      </c>
      <c r="D12" s="12" t="s">
        <v>1617</v>
      </c>
      <c r="E12" s="14">
        <v>112.5</v>
      </c>
      <c r="F12" s="23">
        <v>0.73</v>
      </c>
      <c r="G12" s="14">
        <v>0</v>
      </c>
      <c r="H12" s="25" t="s">
        <v>1615</v>
      </c>
      <c r="I12" s="12"/>
    </row>
    <row r="13" spans="1:9" x14ac:dyDescent="0.3">
      <c r="A13" s="11">
        <v>7</v>
      </c>
      <c r="B13" s="12" t="s">
        <v>156</v>
      </c>
      <c r="C13" s="12" t="s">
        <v>781</v>
      </c>
      <c r="D13" s="12" t="s">
        <v>1618</v>
      </c>
      <c r="E13" s="14">
        <v>150</v>
      </c>
      <c r="F13" s="23">
        <v>0.75</v>
      </c>
      <c r="G13" s="14">
        <v>0</v>
      </c>
      <c r="H13" s="25" t="s">
        <v>1615</v>
      </c>
      <c r="I13" s="12"/>
    </row>
    <row r="14" spans="1:9" x14ac:dyDescent="0.3">
      <c r="A14" s="11">
        <v>8</v>
      </c>
      <c r="B14" s="12" t="s">
        <v>156</v>
      </c>
      <c r="C14" s="12" t="s">
        <v>782</v>
      </c>
      <c r="D14" s="12" t="s">
        <v>1619</v>
      </c>
      <c r="E14" s="14">
        <v>225</v>
      </c>
      <c r="F14" s="23">
        <v>0.57999999999999996</v>
      </c>
      <c r="G14" s="14">
        <v>55.88</v>
      </c>
      <c r="H14" s="25" t="s">
        <v>1615</v>
      </c>
      <c r="I14" s="12"/>
    </row>
    <row r="15" spans="1:9" x14ac:dyDescent="0.3">
      <c r="A15" s="11">
        <v>9</v>
      </c>
      <c r="B15" s="12" t="s">
        <v>156</v>
      </c>
      <c r="C15" s="12" t="s">
        <v>783</v>
      </c>
      <c r="D15" s="25" t="s">
        <v>1619</v>
      </c>
      <c r="E15" s="14">
        <v>225</v>
      </c>
      <c r="F15" s="23">
        <v>0.52</v>
      </c>
      <c r="G15" s="14">
        <v>5.28</v>
      </c>
      <c r="H15" s="25" t="s">
        <v>1615</v>
      </c>
      <c r="I15" s="12"/>
    </row>
    <row r="16" spans="1:9" x14ac:dyDescent="0.3">
      <c r="A16" s="11">
        <v>10</v>
      </c>
      <c r="B16" s="12" t="s">
        <v>156</v>
      </c>
      <c r="C16" s="12" t="s">
        <v>784</v>
      </c>
      <c r="D16" s="25" t="s">
        <v>1619</v>
      </c>
      <c r="E16" s="14">
        <v>100</v>
      </c>
      <c r="F16" s="23">
        <v>0.48</v>
      </c>
      <c r="G16" s="14">
        <v>26.83</v>
      </c>
      <c r="H16" s="25" t="s">
        <v>1615</v>
      </c>
      <c r="I16" s="12"/>
    </row>
    <row r="17" spans="1:9" x14ac:dyDescent="0.3">
      <c r="A17" s="11">
        <v>11</v>
      </c>
      <c r="B17" s="12" t="s">
        <v>156</v>
      </c>
      <c r="C17" s="12" t="s">
        <v>785</v>
      </c>
      <c r="D17" s="25" t="s">
        <v>1619</v>
      </c>
      <c r="E17" s="14">
        <v>150</v>
      </c>
      <c r="F17" s="23">
        <v>0.47</v>
      </c>
      <c r="G17" s="14">
        <v>3.28</v>
      </c>
      <c r="H17" s="25" t="s">
        <v>1615</v>
      </c>
      <c r="I17" s="12"/>
    </row>
    <row r="18" spans="1:9" x14ac:dyDescent="0.3">
      <c r="A18" s="11">
        <v>12</v>
      </c>
      <c r="B18" s="12" t="s">
        <v>156</v>
      </c>
      <c r="C18" s="12" t="s">
        <v>786</v>
      </c>
      <c r="D18" s="25" t="s">
        <v>1619</v>
      </c>
      <c r="E18" s="14">
        <v>75</v>
      </c>
      <c r="F18" s="23">
        <v>0.72</v>
      </c>
      <c r="G18" s="14">
        <v>0</v>
      </c>
      <c r="H18" s="25" t="s">
        <v>1615</v>
      </c>
      <c r="I18" s="12"/>
    </row>
    <row r="19" spans="1:9" x14ac:dyDescent="0.3">
      <c r="A19" s="11">
        <v>13</v>
      </c>
      <c r="B19" s="12" t="s">
        <v>156</v>
      </c>
      <c r="C19" s="12" t="s">
        <v>787</v>
      </c>
      <c r="D19" s="12" t="s">
        <v>1620</v>
      </c>
      <c r="E19" s="14">
        <v>50</v>
      </c>
      <c r="F19" s="23">
        <v>0.45</v>
      </c>
      <c r="G19" s="14">
        <v>0</v>
      </c>
      <c r="H19" s="25" t="s">
        <v>1615</v>
      </c>
      <c r="I19" s="12"/>
    </row>
    <row r="20" spans="1:9" x14ac:dyDescent="0.3">
      <c r="A20" s="11">
        <v>14</v>
      </c>
      <c r="B20" s="12" t="s">
        <v>156</v>
      </c>
      <c r="C20" s="12" t="s">
        <v>788</v>
      </c>
      <c r="D20" s="12" t="s">
        <v>1621</v>
      </c>
      <c r="E20" s="14">
        <v>100</v>
      </c>
      <c r="F20" s="23">
        <v>0.52</v>
      </c>
      <c r="G20" s="14">
        <v>0</v>
      </c>
      <c r="H20" s="25" t="s">
        <v>1615</v>
      </c>
      <c r="I20" s="12"/>
    </row>
    <row r="21" spans="1:9" x14ac:dyDescent="0.3">
      <c r="A21" s="11">
        <v>15</v>
      </c>
      <c r="B21" s="12" t="s">
        <v>156</v>
      </c>
      <c r="C21" s="12" t="s">
        <v>789</v>
      </c>
      <c r="D21" s="25" t="s">
        <v>1619</v>
      </c>
      <c r="E21" s="14">
        <v>225</v>
      </c>
      <c r="F21" s="23">
        <v>0.52</v>
      </c>
      <c r="G21" s="14">
        <v>110.08</v>
      </c>
      <c r="H21" s="25" t="s">
        <v>1615</v>
      </c>
      <c r="I21" s="12"/>
    </row>
    <row r="22" spans="1:9" x14ac:dyDescent="0.3">
      <c r="A22" s="11">
        <v>16</v>
      </c>
      <c r="B22" s="12" t="s">
        <v>156</v>
      </c>
      <c r="C22" s="12" t="s">
        <v>790</v>
      </c>
      <c r="D22" s="12" t="s">
        <v>1622</v>
      </c>
      <c r="E22" s="14">
        <v>300</v>
      </c>
      <c r="F22" s="23">
        <v>0.66</v>
      </c>
      <c r="G22" s="14">
        <v>0</v>
      </c>
      <c r="H22" s="25" t="s">
        <v>1615</v>
      </c>
      <c r="I22" s="12"/>
    </row>
    <row r="23" spans="1:9" x14ac:dyDescent="0.3">
      <c r="A23" s="11">
        <v>17</v>
      </c>
      <c r="B23" s="12" t="s">
        <v>156</v>
      </c>
      <c r="C23" s="12" t="s">
        <v>791</v>
      </c>
      <c r="D23" s="25" t="s">
        <v>1876</v>
      </c>
      <c r="E23" s="14">
        <v>250</v>
      </c>
      <c r="F23" s="23">
        <v>0.67</v>
      </c>
      <c r="G23" s="14">
        <v>0</v>
      </c>
      <c r="H23" s="25" t="s">
        <v>1615</v>
      </c>
      <c r="I23" s="12"/>
    </row>
    <row r="24" spans="1:9" x14ac:dyDescent="0.3">
      <c r="A24" s="11">
        <v>18</v>
      </c>
      <c r="B24" s="12" t="s">
        <v>156</v>
      </c>
      <c r="C24" s="12" t="s">
        <v>792</v>
      </c>
      <c r="D24" s="25" t="s">
        <v>1876</v>
      </c>
      <c r="E24" s="14">
        <v>150</v>
      </c>
      <c r="F24" s="23">
        <v>0.59</v>
      </c>
      <c r="G24" s="14">
        <v>0</v>
      </c>
      <c r="H24" s="25" t="s">
        <v>1615</v>
      </c>
      <c r="I24" s="12"/>
    </row>
    <row r="25" spans="1:9" x14ac:dyDescent="0.3">
      <c r="A25" s="11">
        <v>19</v>
      </c>
      <c r="B25" s="12" t="s">
        <v>156</v>
      </c>
      <c r="C25" s="12" t="s">
        <v>793</v>
      </c>
      <c r="D25" s="25" t="s">
        <v>1876</v>
      </c>
      <c r="E25" s="14">
        <v>112.5</v>
      </c>
      <c r="F25" s="23">
        <v>0.5</v>
      </c>
      <c r="G25" s="14">
        <v>0</v>
      </c>
      <c r="H25" s="25" t="s">
        <v>1615</v>
      </c>
      <c r="I25" s="12"/>
    </row>
    <row r="26" spans="1:9" x14ac:dyDescent="0.3">
      <c r="A26" s="11">
        <v>20</v>
      </c>
      <c r="B26" s="12" t="s">
        <v>156</v>
      </c>
      <c r="C26" s="12" t="s">
        <v>794</v>
      </c>
      <c r="D26" s="25" t="s">
        <v>1619</v>
      </c>
      <c r="E26" s="14">
        <v>100</v>
      </c>
      <c r="F26" s="23">
        <v>0.5</v>
      </c>
      <c r="G26" s="14">
        <v>0</v>
      </c>
      <c r="H26" s="25" t="s">
        <v>1615</v>
      </c>
      <c r="I26" s="12"/>
    </row>
    <row r="27" spans="1:9" x14ac:dyDescent="0.3">
      <c r="A27" s="11">
        <v>21</v>
      </c>
      <c r="B27" s="12" t="s">
        <v>156</v>
      </c>
      <c r="C27" s="12" t="s">
        <v>795</v>
      </c>
      <c r="D27" s="25" t="s">
        <v>1622</v>
      </c>
      <c r="E27" s="14">
        <v>100</v>
      </c>
      <c r="F27" s="23">
        <v>0.47</v>
      </c>
      <c r="G27" s="14">
        <v>0</v>
      </c>
      <c r="H27" s="25" t="s">
        <v>1615</v>
      </c>
      <c r="I27" s="12"/>
    </row>
    <row r="28" spans="1:9" x14ac:dyDescent="0.3">
      <c r="A28" s="11">
        <v>22</v>
      </c>
      <c r="B28" s="12" t="s">
        <v>156</v>
      </c>
      <c r="C28" s="12" t="s">
        <v>796</v>
      </c>
      <c r="D28" s="12" t="s">
        <v>1623</v>
      </c>
      <c r="E28" s="14">
        <v>75</v>
      </c>
      <c r="F28" s="23">
        <v>0.45</v>
      </c>
      <c r="G28" s="14">
        <v>0</v>
      </c>
      <c r="H28" s="25" t="s">
        <v>1615</v>
      </c>
      <c r="I28" s="12"/>
    </row>
    <row r="29" spans="1:9" x14ac:dyDescent="0.3">
      <c r="A29" s="11">
        <v>23</v>
      </c>
      <c r="B29" s="12" t="s">
        <v>156</v>
      </c>
      <c r="C29" s="12" t="s">
        <v>797</v>
      </c>
      <c r="D29" s="12" t="s">
        <v>1624</v>
      </c>
      <c r="E29" s="14">
        <v>75</v>
      </c>
      <c r="F29" s="23">
        <v>0.75</v>
      </c>
      <c r="G29" s="14">
        <v>0</v>
      </c>
      <c r="H29" s="25" t="s">
        <v>1615</v>
      </c>
      <c r="I29" s="12"/>
    </row>
    <row r="30" spans="1:9" x14ac:dyDescent="0.3">
      <c r="A30" s="11">
        <v>24</v>
      </c>
      <c r="B30" s="12" t="s">
        <v>156</v>
      </c>
      <c r="C30" s="12" t="s">
        <v>798</v>
      </c>
      <c r="D30" s="12" t="s">
        <v>1625</v>
      </c>
      <c r="E30" s="14">
        <v>75</v>
      </c>
      <c r="F30" s="23">
        <v>0.68</v>
      </c>
      <c r="G30" s="14">
        <v>10.53</v>
      </c>
      <c r="H30" s="25" t="s">
        <v>1615</v>
      </c>
      <c r="I30" s="12"/>
    </row>
    <row r="31" spans="1:9" x14ac:dyDescent="0.3">
      <c r="A31" s="11">
        <v>25</v>
      </c>
      <c r="B31" s="12" t="s">
        <v>156</v>
      </c>
      <c r="C31" s="12" t="s">
        <v>799</v>
      </c>
      <c r="D31" s="12" t="s">
        <v>1626</v>
      </c>
      <c r="E31" s="14">
        <v>100</v>
      </c>
      <c r="F31" s="23">
        <v>0.59</v>
      </c>
      <c r="G31" s="14">
        <v>0</v>
      </c>
      <c r="H31" s="25" t="s">
        <v>1615</v>
      </c>
      <c r="I31" s="12"/>
    </row>
    <row r="32" spans="1:9" x14ac:dyDescent="0.3">
      <c r="A32" s="11">
        <v>26</v>
      </c>
      <c r="B32" s="12" t="s">
        <v>151</v>
      </c>
      <c r="C32" s="12" t="s">
        <v>800</v>
      </c>
      <c r="D32" s="25" t="s">
        <v>1627</v>
      </c>
      <c r="E32" s="14">
        <v>250</v>
      </c>
      <c r="F32" s="23">
        <v>0.48</v>
      </c>
      <c r="G32" s="14">
        <v>152.30000000000001</v>
      </c>
      <c r="H32" s="25" t="s">
        <v>1615</v>
      </c>
      <c r="I32" s="12"/>
    </row>
    <row r="33" spans="1:9" x14ac:dyDescent="0.3">
      <c r="A33" s="11">
        <v>27</v>
      </c>
      <c r="B33" s="12" t="s">
        <v>151</v>
      </c>
      <c r="C33" s="12" t="s">
        <v>801</v>
      </c>
      <c r="D33" s="12" t="s">
        <v>1627</v>
      </c>
      <c r="E33" s="14">
        <v>250</v>
      </c>
      <c r="F33" s="23">
        <v>0.59</v>
      </c>
      <c r="G33" s="14">
        <v>200.25</v>
      </c>
      <c r="H33" s="25" t="s">
        <v>1615</v>
      </c>
      <c r="I33" s="12"/>
    </row>
    <row r="34" spans="1:9" x14ac:dyDescent="0.3">
      <c r="A34" s="11">
        <v>28</v>
      </c>
      <c r="B34" s="12" t="s">
        <v>151</v>
      </c>
      <c r="C34" s="12" t="s">
        <v>802</v>
      </c>
      <c r="D34" s="25" t="s">
        <v>1627</v>
      </c>
      <c r="E34" s="14">
        <v>250</v>
      </c>
      <c r="F34" s="23">
        <v>0.65</v>
      </c>
      <c r="G34" s="14">
        <v>21.6</v>
      </c>
      <c r="H34" s="25" t="s">
        <v>1615</v>
      </c>
      <c r="I34" s="12"/>
    </row>
    <row r="35" spans="1:9" x14ac:dyDescent="0.3">
      <c r="A35" s="11">
        <v>29</v>
      </c>
      <c r="B35" s="12" t="s">
        <v>151</v>
      </c>
      <c r="C35" s="12" t="s">
        <v>803</v>
      </c>
      <c r="D35" s="12" t="s">
        <v>1628</v>
      </c>
      <c r="E35" s="14">
        <v>250</v>
      </c>
      <c r="F35" s="23">
        <v>0.71</v>
      </c>
      <c r="G35" s="14">
        <v>0</v>
      </c>
      <c r="H35" s="25" t="s">
        <v>1615</v>
      </c>
      <c r="I35" s="12"/>
    </row>
    <row r="36" spans="1:9" x14ac:dyDescent="0.3">
      <c r="A36" s="11">
        <v>30</v>
      </c>
      <c r="B36" s="12" t="s">
        <v>151</v>
      </c>
      <c r="C36" s="12" t="s">
        <v>804</v>
      </c>
      <c r="D36" s="12" t="s">
        <v>1629</v>
      </c>
      <c r="E36" s="14">
        <v>400</v>
      </c>
      <c r="F36" s="23">
        <v>0.53</v>
      </c>
      <c r="G36" s="14">
        <v>0</v>
      </c>
      <c r="H36" s="25" t="s">
        <v>1615</v>
      </c>
      <c r="I36" s="12"/>
    </row>
    <row r="37" spans="1:9" x14ac:dyDescent="0.3">
      <c r="A37" s="11">
        <v>31</v>
      </c>
      <c r="B37" s="12" t="s">
        <v>151</v>
      </c>
      <c r="C37" s="12" t="s">
        <v>805</v>
      </c>
      <c r="D37" s="25" t="s">
        <v>1736</v>
      </c>
      <c r="E37" s="14">
        <v>320</v>
      </c>
      <c r="F37" s="23">
        <v>0.56999999999999995</v>
      </c>
      <c r="G37" s="14">
        <v>0</v>
      </c>
      <c r="H37" s="25" t="s">
        <v>1615</v>
      </c>
      <c r="I37" s="12"/>
    </row>
    <row r="38" spans="1:9" x14ac:dyDescent="0.3">
      <c r="A38" s="11">
        <v>32</v>
      </c>
      <c r="B38" s="12" t="s">
        <v>151</v>
      </c>
      <c r="C38" s="12" t="s">
        <v>806</v>
      </c>
      <c r="D38" s="12" t="s">
        <v>1630</v>
      </c>
      <c r="E38" s="14">
        <v>100</v>
      </c>
      <c r="F38" s="23">
        <v>0.54</v>
      </c>
      <c r="G38" s="14">
        <v>0</v>
      </c>
      <c r="H38" s="25" t="s">
        <v>1615</v>
      </c>
      <c r="I38" s="12"/>
    </row>
    <row r="39" spans="1:9" x14ac:dyDescent="0.3">
      <c r="A39" s="11">
        <v>33</v>
      </c>
      <c r="B39" s="12" t="s">
        <v>151</v>
      </c>
      <c r="C39" s="12" t="s">
        <v>807</v>
      </c>
      <c r="D39" s="12" t="s">
        <v>1631</v>
      </c>
      <c r="E39" s="14">
        <v>400</v>
      </c>
      <c r="F39" s="23">
        <v>0.5</v>
      </c>
      <c r="G39" s="14">
        <v>41.62</v>
      </c>
      <c r="H39" s="25" t="s">
        <v>1615</v>
      </c>
      <c r="I39" s="12"/>
    </row>
    <row r="40" spans="1:9" x14ac:dyDescent="0.3">
      <c r="A40" s="11">
        <v>34</v>
      </c>
      <c r="B40" s="12" t="s">
        <v>151</v>
      </c>
      <c r="C40" s="12" t="s">
        <v>808</v>
      </c>
      <c r="D40" s="12" t="s">
        <v>1632</v>
      </c>
      <c r="E40" s="14">
        <v>150</v>
      </c>
      <c r="F40" s="23">
        <v>0.55000000000000004</v>
      </c>
      <c r="G40" s="14">
        <v>0</v>
      </c>
      <c r="H40" s="25" t="s">
        <v>1615</v>
      </c>
      <c r="I40" s="12"/>
    </row>
    <row r="41" spans="1:9" x14ac:dyDescent="0.3">
      <c r="A41" s="11">
        <v>35</v>
      </c>
      <c r="B41" s="12" t="s">
        <v>151</v>
      </c>
      <c r="C41" s="12" t="s">
        <v>809</v>
      </c>
      <c r="D41" s="12" t="s">
        <v>1633</v>
      </c>
      <c r="E41" s="14">
        <v>250</v>
      </c>
      <c r="F41" s="23">
        <v>0.55000000000000004</v>
      </c>
      <c r="G41" s="14">
        <v>0</v>
      </c>
      <c r="H41" s="25" t="s">
        <v>1615</v>
      </c>
      <c r="I41" s="12"/>
    </row>
    <row r="42" spans="1:9" x14ac:dyDescent="0.3">
      <c r="A42" s="11">
        <v>36</v>
      </c>
      <c r="B42" s="12" t="s">
        <v>151</v>
      </c>
      <c r="C42" s="12" t="s">
        <v>810</v>
      </c>
      <c r="D42" s="12" t="s">
        <v>1634</v>
      </c>
      <c r="E42" s="14">
        <v>150</v>
      </c>
      <c r="F42" s="23">
        <v>0.74</v>
      </c>
      <c r="G42" s="14">
        <v>5.58</v>
      </c>
      <c r="H42" s="25" t="s">
        <v>1615</v>
      </c>
      <c r="I42" s="12"/>
    </row>
    <row r="43" spans="1:9" x14ac:dyDescent="0.3">
      <c r="A43" s="11">
        <v>37</v>
      </c>
      <c r="B43" s="12" t="s">
        <v>151</v>
      </c>
      <c r="C43" s="12" t="s">
        <v>811</v>
      </c>
      <c r="D43" s="12" t="s">
        <v>1632</v>
      </c>
      <c r="E43" s="14">
        <v>100</v>
      </c>
      <c r="F43" s="23">
        <v>0.69</v>
      </c>
      <c r="G43" s="14">
        <v>6.16</v>
      </c>
      <c r="H43" s="25" t="s">
        <v>1615</v>
      </c>
      <c r="I43" s="12"/>
    </row>
    <row r="44" spans="1:9" x14ac:dyDescent="0.3">
      <c r="A44" s="11">
        <v>38</v>
      </c>
      <c r="B44" s="12" t="s">
        <v>151</v>
      </c>
      <c r="C44" s="12" t="s">
        <v>812</v>
      </c>
      <c r="D44" s="12" t="s">
        <v>1632</v>
      </c>
      <c r="E44" s="14">
        <v>150</v>
      </c>
      <c r="F44" s="23">
        <v>0.75</v>
      </c>
      <c r="G44" s="14">
        <v>0</v>
      </c>
      <c r="H44" s="25" t="s">
        <v>1615</v>
      </c>
      <c r="I44" s="12"/>
    </row>
    <row r="45" spans="1:9" x14ac:dyDescent="0.3">
      <c r="A45" s="11">
        <v>39</v>
      </c>
      <c r="B45" s="12" t="s">
        <v>151</v>
      </c>
      <c r="C45" s="12" t="s">
        <v>813</v>
      </c>
      <c r="D45" s="12" t="s">
        <v>1632</v>
      </c>
      <c r="E45" s="14">
        <v>560</v>
      </c>
      <c r="F45" s="23">
        <v>0.66</v>
      </c>
      <c r="G45" s="14">
        <v>10.5</v>
      </c>
      <c r="H45" s="25" t="s">
        <v>1615</v>
      </c>
      <c r="I45" s="12"/>
    </row>
    <row r="46" spans="1:9" x14ac:dyDescent="0.3">
      <c r="A46" s="11">
        <v>40</v>
      </c>
      <c r="B46" s="12" t="s">
        <v>151</v>
      </c>
      <c r="C46" s="12" t="s">
        <v>814</v>
      </c>
      <c r="D46" s="12" t="s">
        <v>1635</v>
      </c>
      <c r="E46" s="14">
        <v>225</v>
      </c>
      <c r="F46" s="23">
        <v>0.6</v>
      </c>
      <c r="G46" s="14">
        <v>0</v>
      </c>
      <c r="H46" s="25" t="s">
        <v>1615</v>
      </c>
      <c r="I46" s="12"/>
    </row>
    <row r="47" spans="1:9" x14ac:dyDescent="0.3">
      <c r="A47" s="11">
        <v>41</v>
      </c>
      <c r="B47" s="12" t="s">
        <v>151</v>
      </c>
      <c r="C47" s="12" t="s">
        <v>815</v>
      </c>
      <c r="D47" s="12" t="s">
        <v>1632</v>
      </c>
      <c r="E47" s="14">
        <v>225</v>
      </c>
      <c r="F47" s="23">
        <v>0.65</v>
      </c>
      <c r="G47" s="14">
        <v>0</v>
      </c>
      <c r="H47" s="25" t="s">
        <v>1615</v>
      </c>
      <c r="I47" s="12"/>
    </row>
    <row r="48" spans="1:9" x14ac:dyDescent="0.3">
      <c r="A48" s="11">
        <v>42</v>
      </c>
      <c r="B48" s="12" t="s">
        <v>151</v>
      </c>
      <c r="C48" s="12" t="s">
        <v>816</v>
      </c>
      <c r="D48" s="12" t="s">
        <v>1636</v>
      </c>
      <c r="E48" s="14">
        <v>225</v>
      </c>
      <c r="F48" s="23">
        <v>0.51</v>
      </c>
      <c r="G48" s="14">
        <v>0</v>
      </c>
      <c r="H48" s="25" t="s">
        <v>1615</v>
      </c>
      <c r="I48" s="12"/>
    </row>
    <row r="49" spans="1:9" x14ac:dyDescent="0.3">
      <c r="A49" s="11">
        <v>43</v>
      </c>
      <c r="B49" s="12" t="s">
        <v>151</v>
      </c>
      <c r="C49" s="12" t="s">
        <v>817</v>
      </c>
      <c r="D49" s="12" t="s">
        <v>1632</v>
      </c>
      <c r="E49" s="14">
        <v>300</v>
      </c>
      <c r="F49" s="23">
        <v>0.75</v>
      </c>
      <c r="G49" s="14">
        <v>0</v>
      </c>
      <c r="H49" s="25" t="s">
        <v>1615</v>
      </c>
      <c r="I49" s="12"/>
    </row>
    <row r="50" spans="1:9" x14ac:dyDescent="0.3">
      <c r="A50" s="11">
        <v>44</v>
      </c>
      <c r="B50" s="12" t="s">
        <v>151</v>
      </c>
      <c r="C50" s="12" t="s">
        <v>818</v>
      </c>
      <c r="D50" s="25" t="s">
        <v>1877</v>
      </c>
      <c r="E50" s="14">
        <v>50</v>
      </c>
      <c r="F50" s="23">
        <v>0.54</v>
      </c>
      <c r="G50" s="14">
        <v>0</v>
      </c>
      <c r="H50" s="25" t="s">
        <v>1615</v>
      </c>
      <c r="I50" s="12"/>
    </row>
    <row r="51" spans="1:9" x14ac:dyDescent="0.3">
      <c r="A51" s="11">
        <v>45</v>
      </c>
      <c r="B51" s="12" t="s">
        <v>155</v>
      </c>
      <c r="C51" s="12" t="s">
        <v>819</v>
      </c>
      <c r="D51" s="12" t="s">
        <v>1637</v>
      </c>
      <c r="E51" s="14">
        <v>200</v>
      </c>
      <c r="F51" s="23">
        <v>0.59</v>
      </c>
      <c r="G51" s="14">
        <v>0</v>
      </c>
      <c r="H51" s="25" t="s">
        <v>1615</v>
      </c>
      <c r="I51" s="12"/>
    </row>
    <row r="52" spans="1:9" x14ac:dyDescent="0.3">
      <c r="A52" s="11">
        <v>46</v>
      </c>
      <c r="B52" s="12" t="s">
        <v>155</v>
      </c>
      <c r="C52" s="12" t="s">
        <v>820</v>
      </c>
      <c r="D52" s="25" t="s">
        <v>1639</v>
      </c>
      <c r="E52" s="14">
        <v>150</v>
      </c>
      <c r="F52" s="23">
        <v>0.56999999999999995</v>
      </c>
      <c r="G52" s="14">
        <v>0</v>
      </c>
      <c r="H52" s="25" t="s">
        <v>1615</v>
      </c>
      <c r="I52" s="12"/>
    </row>
    <row r="53" spans="1:9" x14ac:dyDescent="0.3">
      <c r="A53" s="11">
        <v>47</v>
      </c>
      <c r="B53" s="12" t="s">
        <v>155</v>
      </c>
      <c r="C53" s="12" t="s">
        <v>821</v>
      </c>
      <c r="D53" s="25" t="s">
        <v>1639</v>
      </c>
      <c r="E53" s="14">
        <v>112.5</v>
      </c>
      <c r="F53" s="23">
        <v>0.48</v>
      </c>
      <c r="G53" s="14">
        <v>0</v>
      </c>
      <c r="H53" s="25" t="s">
        <v>1615</v>
      </c>
      <c r="I53" s="12"/>
    </row>
    <row r="54" spans="1:9" x14ac:dyDescent="0.3">
      <c r="A54" s="11">
        <v>48</v>
      </c>
      <c r="B54" s="12" t="s">
        <v>155</v>
      </c>
      <c r="C54" s="12" t="s">
        <v>822</v>
      </c>
      <c r="D54" s="12" t="s">
        <v>1638</v>
      </c>
      <c r="E54" s="14">
        <v>250</v>
      </c>
      <c r="F54" s="23">
        <v>0.67</v>
      </c>
      <c r="G54" s="14">
        <v>0</v>
      </c>
      <c r="H54" s="25" t="s">
        <v>1615</v>
      </c>
      <c r="I54" s="12"/>
    </row>
    <row r="55" spans="1:9" x14ac:dyDescent="0.3">
      <c r="A55" s="11">
        <v>49</v>
      </c>
      <c r="B55" s="12" t="s">
        <v>155</v>
      </c>
      <c r="C55" s="12" t="s">
        <v>823</v>
      </c>
      <c r="D55" s="12" t="s">
        <v>1639</v>
      </c>
      <c r="E55" s="14">
        <v>200</v>
      </c>
      <c r="F55" s="23">
        <v>0.62</v>
      </c>
      <c r="G55" s="14">
        <v>0</v>
      </c>
      <c r="H55" s="25" t="s">
        <v>1615</v>
      </c>
      <c r="I55" s="12"/>
    </row>
    <row r="56" spans="1:9" x14ac:dyDescent="0.3">
      <c r="A56" s="11">
        <v>50</v>
      </c>
      <c r="B56" s="12" t="s">
        <v>155</v>
      </c>
      <c r="C56" s="12" t="s">
        <v>824</v>
      </c>
      <c r="D56" s="12" t="s">
        <v>1638</v>
      </c>
      <c r="E56" s="14">
        <v>100</v>
      </c>
      <c r="F56" s="23">
        <v>0.64</v>
      </c>
      <c r="G56" s="14">
        <v>0</v>
      </c>
      <c r="H56" s="25" t="s">
        <v>1615</v>
      </c>
      <c r="I56" s="12"/>
    </row>
    <row r="57" spans="1:9" x14ac:dyDescent="0.3">
      <c r="A57" s="11">
        <v>51</v>
      </c>
      <c r="B57" s="12" t="s">
        <v>156</v>
      </c>
      <c r="C57" s="12" t="s">
        <v>825</v>
      </c>
      <c r="D57" s="12" t="s">
        <v>1640</v>
      </c>
      <c r="E57" s="14">
        <v>150</v>
      </c>
      <c r="F57" s="23">
        <v>0.54</v>
      </c>
      <c r="G57" s="14">
        <v>0</v>
      </c>
      <c r="H57" s="25" t="s">
        <v>1615</v>
      </c>
      <c r="I57" s="12"/>
    </row>
    <row r="58" spans="1:9" x14ac:dyDescent="0.3">
      <c r="A58" s="11"/>
      <c r="B58" s="12" t="s">
        <v>156</v>
      </c>
      <c r="C58" s="12" t="s">
        <v>826</v>
      </c>
      <c r="D58" s="12" t="s">
        <v>1640</v>
      </c>
      <c r="E58" s="14">
        <v>150</v>
      </c>
      <c r="F58" s="23">
        <v>0.73</v>
      </c>
      <c r="G58" s="14">
        <v>0</v>
      </c>
      <c r="H58" s="25" t="s">
        <v>1615</v>
      </c>
      <c r="I58" s="12"/>
    </row>
    <row r="59" spans="1:9" x14ac:dyDescent="0.3">
      <c r="A59" s="11"/>
      <c r="B59" s="12" t="s">
        <v>156</v>
      </c>
      <c r="C59" s="12" t="s">
        <v>827</v>
      </c>
      <c r="D59" s="12" t="s">
        <v>1641</v>
      </c>
      <c r="E59" s="14">
        <v>250</v>
      </c>
      <c r="F59" s="23">
        <v>0.5</v>
      </c>
      <c r="G59" s="14">
        <v>0</v>
      </c>
      <c r="H59" s="25" t="s">
        <v>1615</v>
      </c>
      <c r="I59" s="12"/>
    </row>
    <row r="60" spans="1:9" x14ac:dyDescent="0.3">
      <c r="A60" s="11"/>
      <c r="B60" s="12" t="s">
        <v>156</v>
      </c>
      <c r="C60" s="12" t="s">
        <v>828</v>
      </c>
      <c r="D60" s="12" t="s">
        <v>1642</v>
      </c>
      <c r="E60" s="14">
        <v>150</v>
      </c>
      <c r="F60" s="23">
        <v>0.47</v>
      </c>
      <c r="G60" s="14">
        <v>0</v>
      </c>
      <c r="H60" s="25" t="s">
        <v>1615</v>
      </c>
      <c r="I60" s="12"/>
    </row>
    <row r="61" spans="1:9" x14ac:dyDescent="0.3">
      <c r="A61" s="11"/>
      <c r="B61" s="12" t="s">
        <v>156</v>
      </c>
      <c r="C61" s="12" t="s">
        <v>829</v>
      </c>
      <c r="D61" s="12" t="s">
        <v>1642</v>
      </c>
      <c r="E61" s="14">
        <v>75</v>
      </c>
      <c r="F61" s="23">
        <v>0.51</v>
      </c>
      <c r="G61" s="14">
        <v>0</v>
      </c>
      <c r="H61" s="25" t="s">
        <v>1615</v>
      </c>
      <c r="I61" s="12"/>
    </row>
    <row r="62" spans="1:9" x14ac:dyDescent="0.3">
      <c r="A62" s="11"/>
      <c r="B62" s="12" t="s">
        <v>156</v>
      </c>
      <c r="C62" s="12" t="s">
        <v>830</v>
      </c>
      <c r="D62" s="12" t="s">
        <v>1642</v>
      </c>
      <c r="E62" s="14">
        <v>75</v>
      </c>
      <c r="F62" s="23">
        <v>0.46</v>
      </c>
      <c r="G62" s="14">
        <v>0</v>
      </c>
      <c r="H62" s="25" t="s">
        <v>1615</v>
      </c>
      <c r="I62" s="12"/>
    </row>
    <row r="63" spans="1:9" x14ac:dyDescent="0.3">
      <c r="A63" s="11"/>
      <c r="B63" s="12" t="s">
        <v>156</v>
      </c>
      <c r="C63" s="12" t="s">
        <v>831</v>
      </c>
      <c r="D63" s="12" t="s">
        <v>1642</v>
      </c>
      <c r="E63" s="14">
        <v>100</v>
      </c>
      <c r="F63" s="23">
        <v>0.75</v>
      </c>
      <c r="G63" s="14">
        <v>0</v>
      </c>
      <c r="H63" s="25" t="s">
        <v>1615</v>
      </c>
      <c r="I63" s="12"/>
    </row>
    <row r="64" spans="1:9" x14ac:dyDescent="0.3">
      <c r="A64" s="11"/>
      <c r="B64" s="12" t="s">
        <v>156</v>
      </c>
      <c r="C64" s="12" t="s">
        <v>832</v>
      </c>
      <c r="D64" s="12" t="s">
        <v>1643</v>
      </c>
      <c r="E64" s="14">
        <v>150</v>
      </c>
      <c r="F64" s="23">
        <v>0.73</v>
      </c>
      <c r="G64" s="14">
        <v>0</v>
      </c>
      <c r="H64" s="25" t="s">
        <v>1615</v>
      </c>
      <c r="I64" s="12"/>
    </row>
    <row r="65" spans="1:9" x14ac:dyDescent="0.3">
      <c r="A65" s="11"/>
      <c r="B65" s="12" t="s">
        <v>156</v>
      </c>
      <c r="C65" s="12" t="s">
        <v>833</v>
      </c>
      <c r="D65" s="12" t="s">
        <v>1643</v>
      </c>
      <c r="E65" s="14">
        <v>50</v>
      </c>
      <c r="F65" s="23">
        <v>0.54</v>
      </c>
      <c r="G65" s="14">
        <v>0</v>
      </c>
      <c r="H65" s="25" t="s">
        <v>1615</v>
      </c>
      <c r="I65" s="12"/>
    </row>
    <row r="66" spans="1:9" x14ac:dyDescent="0.3">
      <c r="A66" s="11"/>
      <c r="B66" s="12" t="s">
        <v>156</v>
      </c>
      <c r="C66" s="12" t="s">
        <v>834</v>
      </c>
      <c r="D66" s="12" t="s">
        <v>1643</v>
      </c>
      <c r="E66" s="14">
        <v>100</v>
      </c>
      <c r="F66" s="23">
        <v>0.69</v>
      </c>
      <c r="G66" s="14">
        <v>0</v>
      </c>
      <c r="H66" s="25" t="s">
        <v>1615</v>
      </c>
      <c r="I66" s="12"/>
    </row>
    <row r="67" spans="1:9" x14ac:dyDescent="0.3">
      <c r="A67" s="11"/>
      <c r="B67" s="12" t="s">
        <v>154</v>
      </c>
      <c r="C67" s="12" t="s">
        <v>835</v>
      </c>
      <c r="D67" s="12" t="s">
        <v>1644</v>
      </c>
      <c r="E67" s="14">
        <v>150</v>
      </c>
      <c r="F67" s="23">
        <v>0.71</v>
      </c>
      <c r="G67" s="14">
        <v>12.76</v>
      </c>
      <c r="H67" s="25" t="s">
        <v>1615</v>
      </c>
      <c r="I67" s="12"/>
    </row>
    <row r="68" spans="1:9" x14ac:dyDescent="0.3">
      <c r="A68" s="11"/>
      <c r="B68" s="12" t="s">
        <v>154</v>
      </c>
      <c r="C68" s="12" t="s">
        <v>836</v>
      </c>
      <c r="D68" s="12" t="s">
        <v>1645</v>
      </c>
      <c r="E68" s="14">
        <v>150</v>
      </c>
      <c r="F68" s="23">
        <v>0.54</v>
      </c>
      <c r="G68" s="14">
        <v>0</v>
      </c>
      <c r="H68" s="25" t="s">
        <v>1615</v>
      </c>
      <c r="I68" s="12"/>
    </row>
    <row r="69" spans="1:9" x14ac:dyDescent="0.3">
      <c r="A69" s="11"/>
      <c r="B69" s="12" t="s">
        <v>154</v>
      </c>
      <c r="C69" s="12" t="s">
        <v>837</v>
      </c>
      <c r="D69" s="12" t="s">
        <v>1644</v>
      </c>
      <c r="E69" s="14">
        <v>50</v>
      </c>
      <c r="F69" s="23">
        <v>0.68</v>
      </c>
      <c r="G69" s="14">
        <v>0</v>
      </c>
      <c r="H69" s="25" t="s">
        <v>1615</v>
      </c>
      <c r="I69" s="12"/>
    </row>
    <row r="70" spans="1:9" x14ac:dyDescent="0.3">
      <c r="A70" s="11"/>
      <c r="B70" s="12" t="s">
        <v>154</v>
      </c>
      <c r="C70" s="12" t="s">
        <v>838</v>
      </c>
      <c r="D70" s="12" t="s">
        <v>1644</v>
      </c>
      <c r="E70" s="14">
        <v>100</v>
      </c>
      <c r="F70" s="23">
        <v>0.59</v>
      </c>
      <c r="G70" s="14">
        <v>0</v>
      </c>
      <c r="H70" s="25" t="s">
        <v>1615</v>
      </c>
      <c r="I70" s="12"/>
    </row>
    <row r="71" spans="1:9" x14ac:dyDescent="0.3">
      <c r="A71" s="11"/>
      <c r="B71" s="12" t="s">
        <v>154</v>
      </c>
      <c r="C71" s="12" t="s">
        <v>839</v>
      </c>
      <c r="D71" s="12" t="s">
        <v>1646</v>
      </c>
      <c r="E71" s="14">
        <v>150</v>
      </c>
      <c r="F71" s="23">
        <v>0.54</v>
      </c>
      <c r="G71" s="14">
        <v>0</v>
      </c>
      <c r="H71" s="25" t="s">
        <v>1615</v>
      </c>
      <c r="I71" s="12"/>
    </row>
    <row r="72" spans="1:9" x14ac:dyDescent="0.3">
      <c r="A72" s="11"/>
      <c r="B72" s="12" t="s">
        <v>154</v>
      </c>
      <c r="C72" s="12" t="s">
        <v>840</v>
      </c>
      <c r="D72" s="12" t="s">
        <v>1646</v>
      </c>
      <c r="E72" s="14">
        <v>75</v>
      </c>
      <c r="F72" s="23">
        <v>0.51</v>
      </c>
      <c r="G72" s="14">
        <v>0</v>
      </c>
      <c r="H72" s="25" t="s">
        <v>1615</v>
      </c>
      <c r="I72" s="12"/>
    </row>
    <row r="73" spans="1:9" x14ac:dyDescent="0.3">
      <c r="A73" s="11"/>
      <c r="B73" s="12" t="s">
        <v>154</v>
      </c>
      <c r="C73" s="12" t="s">
        <v>841</v>
      </c>
      <c r="D73" s="12" t="s">
        <v>1646</v>
      </c>
      <c r="E73" s="14">
        <v>150</v>
      </c>
      <c r="F73" s="23">
        <v>0.75</v>
      </c>
      <c r="G73" s="14">
        <v>3.3</v>
      </c>
      <c r="H73" s="25" t="s">
        <v>1615</v>
      </c>
      <c r="I73" s="12"/>
    </row>
    <row r="74" spans="1:9" x14ac:dyDescent="0.3">
      <c r="A74" s="11"/>
      <c r="B74" s="12" t="s">
        <v>154</v>
      </c>
      <c r="C74" s="12" t="s">
        <v>842</v>
      </c>
      <c r="D74" s="12" t="s">
        <v>1647</v>
      </c>
      <c r="E74" s="14">
        <v>100</v>
      </c>
      <c r="F74" s="23">
        <v>0.57999999999999996</v>
      </c>
      <c r="G74" s="14">
        <v>0</v>
      </c>
      <c r="H74" s="25" t="s">
        <v>1615</v>
      </c>
      <c r="I74" s="12"/>
    </row>
    <row r="75" spans="1:9" x14ac:dyDescent="0.3">
      <c r="A75" s="11"/>
      <c r="B75" s="12" t="s">
        <v>154</v>
      </c>
      <c r="C75" s="12" t="s">
        <v>843</v>
      </c>
      <c r="D75" s="12" t="s">
        <v>1646</v>
      </c>
      <c r="E75" s="14">
        <v>50</v>
      </c>
      <c r="F75" s="23">
        <v>0.67</v>
      </c>
      <c r="G75" s="14">
        <v>0</v>
      </c>
      <c r="H75" s="25" t="s">
        <v>1615</v>
      </c>
      <c r="I75" s="12"/>
    </row>
    <row r="76" spans="1:9" x14ac:dyDescent="0.3">
      <c r="A76" s="11"/>
      <c r="B76" s="12" t="s">
        <v>154</v>
      </c>
      <c r="C76" s="12" t="s">
        <v>844</v>
      </c>
      <c r="D76" s="12" t="s">
        <v>1648</v>
      </c>
      <c r="E76" s="14">
        <v>50</v>
      </c>
      <c r="F76" s="23">
        <v>0.73</v>
      </c>
      <c r="G76" s="14">
        <v>0</v>
      </c>
      <c r="H76" s="25" t="s">
        <v>1615</v>
      </c>
      <c r="I76" s="12"/>
    </row>
    <row r="77" spans="1:9" x14ac:dyDescent="0.3">
      <c r="A77" s="11"/>
      <c r="B77" s="12" t="s">
        <v>154</v>
      </c>
      <c r="C77" s="12" t="s">
        <v>845</v>
      </c>
      <c r="D77" s="12" t="s">
        <v>1648</v>
      </c>
      <c r="E77" s="14">
        <v>50</v>
      </c>
      <c r="F77" s="23">
        <v>0.63</v>
      </c>
      <c r="G77" s="14">
        <v>0</v>
      </c>
      <c r="H77" s="25" t="s">
        <v>1615</v>
      </c>
      <c r="I77" s="12"/>
    </row>
    <row r="78" spans="1:9" x14ac:dyDescent="0.3">
      <c r="A78" s="11"/>
      <c r="B78" s="12" t="s">
        <v>154</v>
      </c>
      <c r="C78" s="12" t="s">
        <v>846</v>
      </c>
      <c r="D78" s="12" t="s">
        <v>1649</v>
      </c>
      <c r="E78" s="14">
        <v>100</v>
      </c>
      <c r="F78" s="23">
        <v>0.68</v>
      </c>
      <c r="G78" s="14">
        <v>0</v>
      </c>
      <c r="H78" s="25" t="s">
        <v>1615</v>
      </c>
      <c r="I78" s="12"/>
    </row>
    <row r="79" spans="1:9" x14ac:dyDescent="0.3">
      <c r="A79" s="11"/>
      <c r="B79" s="12" t="s">
        <v>154</v>
      </c>
      <c r="C79" s="12" t="s">
        <v>847</v>
      </c>
      <c r="D79" s="12" t="s">
        <v>1650</v>
      </c>
      <c r="E79" s="14">
        <v>75</v>
      </c>
      <c r="F79" s="23">
        <v>0.49</v>
      </c>
      <c r="G79" s="14">
        <v>2</v>
      </c>
      <c r="H79" s="25" t="s">
        <v>1615</v>
      </c>
      <c r="I79" s="12"/>
    </row>
    <row r="80" spans="1:9" x14ac:dyDescent="0.3">
      <c r="A80" s="11"/>
      <c r="B80" s="12" t="s">
        <v>154</v>
      </c>
      <c r="C80" s="12" t="s">
        <v>848</v>
      </c>
      <c r="D80" s="12" t="s">
        <v>1646</v>
      </c>
      <c r="E80" s="14">
        <v>50</v>
      </c>
      <c r="F80" s="23">
        <v>0.5</v>
      </c>
      <c r="G80" s="14">
        <v>0</v>
      </c>
      <c r="H80" s="25" t="s">
        <v>1615</v>
      </c>
      <c r="I80" s="12"/>
    </row>
    <row r="81" spans="1:9" x14ac:dyDescent="0.3">
      <c r="A81" s="11"/>
      <c r="B81" s="12" t="s">
        <v>154</v>
      </c>
      <c r="C81" s="12" t="s">
        <v>849</v>
      </c>
      <c r="D81" s="12" t="s">
        <v>1650</v>
      </c>
      <c r="E81" s="14">
        <v>75</v>
      </c>
      <c r="F81" s="23">
        <v>0.52</v>
      </c>
      <c r="G81" s="14">
        <v>0</v>
      </c>
      <c r="H81" s="25" t="s">
        <v>1615</v>
      </c>
      <c r="I81" s="12"/>
    </row>
    <row r="82" spans="1:9" x14ac:dyDescent="0.3">
      <c r="A82" s="11"/>
      <c r="B82" s="12" t="s">
        <v>154</v>
      </c>
      <c r="C82" s="12" t="s">
        <v>850</v>
      </c>
      <c r="D82" s="12" t="s">
        <v>1650</v>
      </c>
      <c r="E82" s="14">
        <v>75</v>
      </c>
      <c r="F82" s="23">
        <v>0.74</v>
      </c>
      <c r="G82" s="14">
        <v>0</v>
      </c>
      <c r="H82" s="25" t="s">
        <v>1615</v>
      </c>
      <c r="I82" s="12"/>
    </row>
    <row r="83" spans="1:9" x14ac:dyDescent="0.3">
      <c r="A83" s="11"/>
      <c r="B83" s="12" t="s">
        <v>154</v>
      </c>
      <c r="C83" s="12" t="s">
        <v>851</v>
      </c>
      <c r="D83" s="12" t="s">
        <v>1650</v>
      </c>
      <c r="E83" s="14">
        <v>150</v>
      </c>
      <c r="F83" s="23">
        <v>0.51</v>
      </c>
      <c r="G83" s="14">
        <v>0</v>
      </c>
      <c r="H83" s="25" t="s">
        <v>1615</v>
      </c>
      <c r="I83" s="12"/>
    </row>
    <row r="84" spans="1:9" x14ac:dyDescent="0.3">
      <c r="A84" s="11"/>
      <c r="B84" s="12" t="s">
        <v>154</v>
      </c>
      <c r="C84" s="12" t="s">
        <v>852</v>
      </c>
      <c r="D84" s="12" t="s">
        <v>1650</v>
      </c>
      <c r="E84" s="14">
        <v>100</v>
      </c>
      <c r="F84" s="23">
        <v>0.68</v>
      </c>
      <c r="G84" s="14">
        <v>0</v>
      </c>
      <c r="H84" s="25" t="s">
        <v>1615</v>
      </c>
      <c r="I84" s="12"/>
    </row>
    <row r="85" spans="1:9" x14ac:dyDescent="0.3">
      <c r="A85" s="11"/>
      <c r="B85" s="12" t="s">
        <v>156</v>
      </c>
      <c r="C85" s="12" t="s">
        <v>853</v>
      </c>
      <c r="D85" s="12" t="s">
        <v>1651</v>
      </c>
      <c r="E85" s="14">
        <v>75</v>
      </c>
      <c r="F85" s="23">
        <v>0.66</v>
      </c>
      <c r="G85" s="14">
        <v>0</v>
      </c>
      <c r="H85" s="25" t="s">
        <v>1615</v>
      </c>
      <c r="I85" s="12"/>
    </row>
    <row r="86" spans="1:9" x14ac:dyDescent="0.3">
      <c r="A86" s="11"/>
      <c r="B86" s="12" t="s">
        <v>152</v>
      </c>
      <c r="C86" s="12" t="s">
        <v>854</v>
      </c>
      <c r="D86" s="12" t="s">
        <v>1652</v>
      </c>
      <c r="E86" s="14">
        <v>150</v>
      </c>
      <c r="F86" s="23">
        <v>0.52</v>
      </c>
      <c r="G86" s="14">
        <v>0</v>
      </c>
      <c r="H86" s="25" t="s">
        <v>1615</v>
      </c>
      <c r="I86" s="12"/>
    </row>
    <row r="87" spans="1:9" x14ac:dyDescent="0.3">
      <c r="A87" s="11"/>
      <c r="B87" s="12" t="s">
        <v>152</v>
      </c>
      <c r="C87" s="12" t="s">
        <v>855</v>
      </c>
      <c r="D87" s="12" t="s">
        <v>1653</v>
      </c>
      <c r="E87" s="14">
        <v>150</v>
      </c>
      <c r="F87" s="23">
        <v>0.5</v>
      </c>
      <c r="G87" s="14">
        <v>0</v>
      </c>
      <c r="H87" s="25" t="s">
        <v>1615</v>
      </c>
      <c r="I87" s="12"/>
    </row>
    <row r="88" spans="1:9" x14ac:dyDescent="0.3">
      <c r="A88" s="11"/>
      <c r="B88" s="12" t="s">
        <v>156</v>
      </c>
      <c r="C88" s="12" t="s">
        <v>856</v>
      </c>
      <c r="D88" s="12" t="s">
        <v>1654</v>
      </c>
      <c r="E88" s="14">
        <v>100</v>
      </c>
      <c r="F88" s="23">
        <v>0.56999999999999995</v>
      </c>
      <c r="G88" s="14">
        <v>0</v>
      </c>
      <c r="H88" s="25" t="s">
        <v>1615</v>
      </c>
      <c r="I88" s="12"/>
    </row>
    <row r="89" spans="1:9" x14ac:dyDescent="0.3">
      <c r="A89" s="11"/>
      <c r="B89" s="12" t="s">
        <v>156</v>
      </c>
      <c r="C89" s="12" t="s">
        <v>857</v>
      </c>
      <c r="D89" s="12" t="s">
        <v>1654</v>
      </c>
      <c r="E89" s="14">
        <v>50</v>
      </c>
      <c r="F89" s="23">
        <v>0.65</v>
      </c>
      <c r="G89" s="14">
        <v>0</v>
      </c>
      <c r="H89" s="25" t="s">
        <v>1615</v>
      </c>
      <c r="I89" s="12"/>
    </row>
    <row r="90" spans="1:9" x14ac:dyDescent="0.3">
      <c r="A90" s="11"/>
      <c r="B90" s="12" t="s">
        <v>156</v>
      </c>
      <c r="C90" s="12" t="s">
        <v>858</v>
      </c>
      <c r="D90" s="12" t="s">
        <v>1654</v>
      </c>
      <c r="E90" s="14">
        <v>50</v>
      </c>
      <c r="F90" s="23">
        <v>0.49</v>
      </c>
      <c r="G90" s="14">
        <v>0</v>
      </c>
      <c r="H90" s="25" t="s">
        <v>1615</v>
      </c>
      <c r="I90" s="12"/>
    </row>
    <row r="91" spans="1:9" x14ac:dyDescent="0.3">
      <c r="A91" s="11"/>
      <c r="B91" s="12" t="s">
        <v>156</v>
      </c>
      <c r="C91" s="12" t="s">
        <v>859</v>
      </c>
      <c r="D91" s="12" t="s">
        <v>1655</v>
      </c>
      <c r="E91" s="14">
        <v>37.5</v>
      </c>
      <c r="F91" s="23">
        <v>0.69</v>
      </c>
      <c r="G91" s="14">
        <v>0</v>
      </c>
      <c r="H91" s="25" t="s">
        <v>1615</v>
      </c>
      <c r="I91" s="12"/>
    </row>
    <row r="92" spans="1:9" x14ac:dyDescent="0.3">
      <c r="A92" s="11"/>
      <c r="B92" s="12" t="s">
        <v>156</v>
      </c>
      <c r="C92" s="12" t="s">
        <v>860</v>
      </c>
      <c r="D92" s="12" t="s">
        <v>1655</v>
      </c>
      <c r="E92" s="14">
        <v>75</v>
      </c>
      <c r="F92" s="23">
        <v>0.73</v>
      </c>
      <c r="G92" s="14">
        <v>0</v>
      </c>
      <c r="H92" s="25" t="s">
        <v>1615</v>
      </c>
      <c r="I92" s="12"/>
    </row>
    <row r="93" spans="1:9" x14ac:dyDescent="0.3">
      <c r="A93" s="11"/>
      <c r="B93" s="12" t="s">
        <v>156</v>
      </c>
      <c r="C93" s="12" t="s">
        <v>861</v>
      </c>
      <c r="D93" s="12" t="s">
        <v>1656</v>
      </c>
      <c r="E93" s="14">
        <v>100</v>
      </c>
      <c r="F93" s="23">
        <v>0.61</v>
      </c>
      <c r="G93" s="14">
        <v>0</v>
      </c>
      <c r="H93" s="25" t="s">
        <v>1615</v>
      </c>
      <c r="I93" s="12"/>
    </row>
    <row r="94" spans="1:9" x14ac:dyDescent="0.3">
      <c r="A94" s="11"/>
      <c r="B94" s="12" t="s">
        <v>152</v>
      </c>
      <c r="C94" s="12" t="s">
        <v>862</v>
      </c>
      <c r="D94" s="25" t="s">
        <v>1861</v>
      </c>
      <c r="E94" s="14">
        <v>150</v>
      </c>
      <c r="F94" s="23">
        <v>0.69</v>
      </c>
      <c r="G94" s="14">
        <v>0</v>
      </c>
      <c r="H94" s="25" t="s">
        <v>1615</v>
      </c>
      <c r="I94" s="12"/>
    </row>
    <row r="95" spans="1:9" x14ac:dyDescent="0.3">
      <c r="A95" s="11"/>
      <c r="B95" s="12" t="s">
        <v>152</v>
      </c>
      <c r="C95" s="12" t="s">
        <v>863</v>
      </c>
      <c r="D95" s="12" t="s">
        <v>1652</v>
      </c>
      <c r="E95" s="14">
        <v>150</v>
      </c>
      <c r="F95" s="23">
        <v>0.71</v>
      </c>
      <c r="G95" s="14">
        <v>0</v>
      </c>
      <c r="H95" s="25" t="s">
        <v>1615</v>
      </c>
      <c r="I95" s="12"/>
    </row>
    <row r="96" spans="1:9" x14ac:dyDescent="0.3">
      <c r="A96" s="11"/>
      <c r="B96" s="12" t="s">
        <v>152</v>
      </c>
      <c r="C96" s="12" t="s">
        <v>864</v>
      </c>
      <c r="D96" s="12" t="s">
        <v>1657</v>
      </c>
      <c r="E96" s="14">
        <v>150</v>
      </c>
      <c r="F96" s="23">
        <v>0.69</v>
      </c>
      <c r="G96" s="14">
        <v>0</v>
      </c>
      <c r="H96" s="25" t="s">
        <v>1615</v>
      </c>
      <c r="I96" s="12"/>
    </row>
    <row r="97" spans="1:9" x14ac:dyDescent="0.3">
      <c r="A97" s="11"/>
      <c r="B97" s="12" t="s">
        <v>152</v>
      </c>
      <c r="C97" s="12" t="s">
        <v>865</v>
      </c>
      <c r="D97" s="12" t="s">
        <v>1658</v>
      </c>
      <c r="E97" s="14">
        <v>100</v>
      </c>
      <c r="F97" s="23">
        <v>0.6</v>
      </c>
      <c r="G97" s="14">
        <v>0</v>
      </c>
      <c r="H97" s="25" t="s">
        <v>1615</v>
      </c>
      <c r="I97" s="12"/>
    </row>
    <row r="98" spans="1:9" x14ac:dyDescent="0.3">
      <c r="A98" s="11"/>
      <c r="B98" s="12" t="s">
        <v>152</v>
      </c>
      <c r="C98" s="12" t="s">
        <v>866</v>
      </c>
      <c r="D98" s="12" t="s">
        <v>1658</v>
      </c>
      <c r="E98" s="14">
        <v>100</v>
      </c>
      <c r="F98" s="23">
        <v>0.7</v>
      </c>
      <c r="G98" s="14">
        <v>0</v>
      </c>
      <c r="H98" s="25" t="s">
        <v>1615</v>
      </c>
      <c r="I98" s="12"/>
    </row>
    <row r="99" spans="1:9" x14ac:dyDescent="0.3">
      <c r="A99" s="11"/>
      <c r="B99" s="12" t="s">
        <v>152</v>
      </c>
      <c r="C99" s="12" t="s">
        <v>867</v>
      </c>
      <c r="D99" s="12" t="s">
        <v>1658</v>
      </c>
      <c r="E99" s="14">
        <v>100</v>
      </c>
      <c r="F99" s="23">
        <v>0.5</v>
      </c>
      <c r="G99" s="14">
        <v>0</v>
      </c>
      <c r="H99" s="25" t="s">
        <v>1615</v>
      </c>
      <c r="I99" s="12"/>
    </row>
    <row r="100" spans="1:9" x14ac:dyDescent="0.3">
      <c r="A100" s="11"/>
      <c r="B100" s="12" t="s">
        <v>152</v>
      </c>
      <c r="C100" s="12" t="s">
        <v>868</v>
      </c>
      <c r="D100" s="12" t="s">
        <v>1659</v>
      </c>
      <c r="E100" s="14">
        <v>250</v>
      </c>
      <c r="F100" s="23">
        <v>0.53</v>
      </c>
      <c r="G100" s="14">
        <v>0</v>
      </c>
      <c r="H100" s="25" t="s">
        <v>1615</v>
      </c>
      <c r="I100" s="12"/>
    </row>
    <row r="101" spans="1:9" x14ac:dyDescent="0.3">
      <c r="A101" s="11"/>
      <c r="B101" s="12" t="s">
        <v>152</v>
      </c>
      <c r="C101" s="12" t="s">
        <v>869</v>
      </c>
      <c r="D101" s="25" t="s">
        <v>1659</v>
      </c>
      <c r="E101" s="14">
        <v>250</v>
      </c>
      <c r="F101" s="23">
        <v>0.57999999999999996</v>
      </c>
      <c r="G101" s="14">
        <v>0</v>
      </c>
      <c r="H101" s="25" t="s">
        <v>1615</v>
      </c>
      <c r="I101" s="12"/>
    </row>
    <row r="102" spans="1:9" x14ac:dyDescent="0.3">
      <c r="A102" s="11"/>
      <c r="B102" s="12" t="s">
        <v>152</v>
      </c>
      <c r="C102" s="12" t="s">
        <v>870</v>
      </c>
      <c r="D102" s="12" t="s">
        <v>1658</v>
      </c>
      <c r="E102" s="14">
        <v>112.5</v>
      </c>
      <c r="F102" s="23">
        <v>0.6</v>
      </c>
      <c r="G102" s="14">
        <v>0</v>
      </c>
      <c r="H102" s="25" t="s">
        <v>1615</v>
      </c>
      <c r="I102" s="12"/>
    </row>
    <row r="103" spans="1:9" x14ac:dyDescent="0.3">
      <c r="A103" s="11"/>
      <c r="B103" s="12" t="s">
        <v>152</v>
      </c>
      <c r="C103" s="12" t="s">
        <v>871</v>
      </c>
      <c r="D103" s="12" t="s">
        <v>1660</v>
      </c>
      <c r="E103" s="14">
        <v>250</v>
      </c>
      <c r="F103" s="23">
        <v>0.49</v>
      </c>
      <c r="G103" s="14">
        <v>8.01</v>
      </c>
      <c r="H103" s="25" t="s">
        <v>1615</v>
      </c>
      <c r="I103" s="12"/>
    </row>
    <row r="104" spans="1:9" x14ac:dyDescent="0.3">
      <c r="A104" s="11"/>
      <c r="B104" s="12" t="s">
        <v>152</v>
      </c>
      <c r="C104" s="12" t="s">
        <v>872</v>
      </c>
      <c r="D104" s="12" t="s">
        <v>1660</v>
      </c>
      <c r="E104" s="14">
        <v>100</v>
      </c>
      <c r="F104" s="23">
        <v>0.56999999999999995</v>
      </c>
      <c r="G104" s="14">
        <v>0</v>
      </c>
      <c r="H104" s="25" t="s">
        <v>1615</v>
      </c>
      <c r="I104" s="12"/>
    </row>
    <row r="105" spans="1:9" x14ac:dyDescent="0.3">
      <c r="A105" s="11"/>
      <c r="B105" s="12" t="s">
        <v>152</v>
      </c>
      <c r="C105" s="12" t="s">
        <v>873</v>
      </c>
      <c r="D105" s="12" t="s">
        <v>1661</v>
      </c>
      <c r="E105" s="14">
        <v>100</v>
      </c>
      <c r="F105" s="23">
        <v>0.53</v>
      </c>
      <c r="G105" s="14">
        <v>0</v>
      </c>
      <c r="H105" s="25" t="s">
        <v>1615</v>
      </c>
      <c r="I105" s="12"/>
    </row>
    <row r="106" spans="1:9" x14ac:dyDescent="0.3">
      <c r="A106" s="11"/>
      <c r="B106" s="12" t="s">
        <v>152</v>
      </c>
      <c r="C106" s="12" t="s">
        <v>874</v>
      </c>
      <c r="D106" s="12" t="s">
        <v>1661</v>
      </c>
      <c r="E106" s="14">
        <v>75</v>
      </c>
      <c r="F106" s="23">
        <v>0.54</v>
      </c>
      <c r="G106" s="14">
        <v>0</v>
      </c>
      <c r="H106" s="25" t="s">
        <v>1615</v>
      </c>
      <c r="I106" s="12"/>
    </row>
    <row r="107" spans="1:9" x14ac:dyDescent="0.3">
      <c r="A107" s="11"/>
      <c r="B107" s="12" t="s">
        <v>152</v>
      </c>
      <c r="C107" s="12" t="s">
        <v>875</v>
      </c>
      <c r="D107" s="12" t="s">
        <v>1662</v>
      </c>
      <c r="E107" s="14">
        <v>75</v>
      </c>
      <c r="F107" s="23">
        <v>0.75</v>
      </c>
      <c r="G107" s="14">
        <v>0</v>
      </c>
      <c r="H107" s="25" t="s">
        <v>1615</v>
      </c>
      <c r="I107" s="12"/>
    </row>
    <row r="108" spans="1:9" x14ac:dyDescent="0.3">
      <c r="A108" s="11"/>
      <c r="B108" s="12" t="s">
        <v>152</v>
      </c>
      <c r="C108" s="12" t="s">
        <v>876</v>
      </c>
      <c r="D108" s="12" t="s">
        <v>1662</v>
      </c>
      <c r="E108" s="14">
        <v>75</v>
      </c>
      <c r="F108" s="23">
        <v>0.65</v>
      </c>
      <c r="G108" s="14">
        <v>0</v>
      </c>
      <c r="H108" s="25" t="s">
        <v>1615</v>
      </c>
      <c r="I108" s="12"/>
    </row>
    <row r="109" spans="1:9" x14ac:dyDescent="0.3">
      <c r="A109" s="11"/>
      <c r="B109" s="12" t="s">
        <v>152</v>
      </c>
      <c r="C109" s="12" t="s">
        <v>877</v>
      </c>
      <c r="D109" s="12" t="s">
        <v>1661</v>
      </c>
      <c r="E109" s="14">
        <v>200</v>
      </c>
      <c r="F109" s="23">
        <v>0.48</v>
      </c>
      <c r="G109" s="14">
        <v>0</v>
      </c>
      <c r="H109" s="25" t="s">
        <v>1615</v>
      </c>
      <c r="I109" s="12"/>
    </row>
    <row r="110" spans="1:9" x14ac:dyDescent="0.3">
      <c r="A110" s="11"/>
      <c r="B110" s="12" t="s">
        <v>152</v>
      </c>
      <c r="C110" s="12" t="s">
        <v>878</v>
      </c>
      <c r="D110" s="12" t="s">
        <v>1661</v>
      </c>
      <c r="E110" s="14">
        <v>100</v>
      </c>
      <c r="F110" s="23">
        <v>0.49</v>
      </c>
      <c r="G110" s="14">
        <v>0</v>
      </c>
      <c r="H110" s="25" t="s">
        <v>1615</v>
      </c>
      <c r="I110" s="12"/>
    </row>
    <row r="111" spans="1:9" x14ac:dyDescent="0.3">
      <c r="A111" s="11"/>
      <c r="B111" s="12" t="s">
        <v>152</v>
      </c>
      <c r="C111" s="12" t="s">
        <v>879</v>
      </c>
      <c r="D111" s="12" t="s">
        <v>1661</v>
      </c>
      <c r="E111" s="14">
        <v>75</v>
      </c>
      <c r="F111" s="23">
        <v>0.61</v>
      </c>
      <c r="G111" s="14">
        <v>0</v>
      </c>
      <c r="H111" s="25" t="s">
        <v>1615</v>
      </c>
      <c r="I111" s="12"/>
    </row>
    <row r="112" spans="1:9" x14ac:dyDescent="0.3">
      <c r="A112" s="11"/>
      <c r="B112" s="12" t="s">
        <v>152</v>
      </c>
      <c r="C112" s="12" t="s">
        <v>880</v>
      </c>
      <c r="D112" s="12" t="s">
        <v>1660</v>
      </c>
      <c r="E112" s="14">
        <v>300</v>
      </c>
      <c r="F112" s="23">
        <v>0.64</v>
      </c>
      <c r="G112" s="14">
        <v>0</v>
      </c>
      <c r="H112" s="25" t="s">
        <v>1615</v>
      </c>
      <c r="I112" s="12"/>
    </row>
    <row r="113" spans="1:9" x14ac:dyDescent="0.3">
      <c r="A113" s="11"/>
      <c r="B113" s="12" t="s">
        <v>152</v>
      </c>
      <c r="C113" s="12" t="s">
        <v>881</v>
      </c>
      <c r="D113" s="12" t="s">
        <v>1661</v>
      </c>
      <c r="E113" s="14">
        <v>150</v>
      </c>
      <c r="F113" s="23">
        <v>0.55000000000000004</v>
      </c>
      <c r="G113" s="14">
        <v>0</v>
      </c>
      <c r="H113" s="25" t="s">
        <v>1615</v>
      </c>
      <c r="I113" s="12"/>
    </row>
    <row r="114" spans="1:9" x14ac:dyDescent="0.3">
      <c r="A114" s="11"/>
      <c r="B114" s="12" t="s">
        <v>152</v>
      </c>
      <c r="C114" s="12" t="s">
        <v>882</v>
      </c>
      <c r="D114" s="12" t="s">
        <v>1661</v>
      </c>
      <c r="E114" s="14">
        <v>100</v>
      </c>
      <c r="F114" s="23">
        <v>0.55000000000000004</v>
      </c>
      <c r="G114" s="14">
        <v>0</v>
      </c>
      <c r="H114" s="25" t="s">
        <v>1615</v>
      </c>
      <c r="I114" s="12"/>
    </row>
    <row r="115" spans="1:9" x14ac:dyDescent="0.3">
      <c r="A115" s="11"/>
      <c r="B115" s="12" t="s">
        <v>152</v>
      </c>
      <c r="C115" s="12" t="s">
        <v>883</v>
      </c>
      <c r="D115" s="12" t="s">
        <v>1661</v>
      </c>
      <c r="E115" s="14">
        <v>75</v>
      </c>
      <c r="F115" s="23">
        <v>0.71</v>
      </c>
      <c r="G115" s="14">
        <v>0</v>
      </c>
      <c r="H115" s="25" t="s">
        <v>1615</v>
      </c>
      <c r="I115" s="12"/>
    </row>
    <row r="116" spans="1:9" x14ac:dyDescent="0.3">
      <c r="A116" s="11"/>
      <c r="B116" s="12" t="s">
        <v>152</v>
      </c>
      <c r="C116" s="12" t="s">
        <v>884</v>
      </c>
      <c r="D116" s="12" t="s">
        <v>1663</v>
      </c>
      <c r="E116" s="14">
        <v>250</v>
      </c>
      <c r="F116" s="23">
        <v>0.68</v>
      </c>
      <c r="G116" s="14">
        <v>0</v>
      </c>
      <c r="H116" s="25" t="s">
        <v>1615</v>
      </c>
      <c r="I116" s="12"/>
    </row>
    <row r="117" spans="1:9" x14ac:dyDescent="0.3">
      <c r="A117" s="11"/>
      <c r="B117" s="12" t="s">
        <v>152</v>
      </c>
      <c r="C117" s="12" t="s">
        <v>885</v>
      </c>
      <c r="D117" s="12" t="s">
        <v>1663</v>
      </c>
      <c r="E117" s="14">
        <v>250</v>
      </c>
      <c r="F117" s="23">
        <v>0.69</v>
      </c>
      <c r="G117" s="14">
        <v>0</v>
      </c>
      <c r="H117" s="25" t="s">
        <v>1615</v>
      </c>
      <c r="I117" s="12"/>
    </row>
    <row r="118" spans="1:9" x14ac:dyDescent="0.3">
      <c r="A118" s="11"/>
      <c r="B118" s="12" t="s">
        <v>152</v>
      </c>
      <c r="C118" s="12" t="s">
        <v>886</v>
      </c>
      <c r="D118" s="12" t="s">
        <v>1663</v>
      </c>
      <c r="E118" s="14">
        <v>250</v>
      </c>
      <c r="F118" s="23">
        <v>0.47</v>
      </c>
      <c r="G118" s="14">
        <v>0</v>
      </c>
      <c r="H118" s="25" t="s">
        <v>1615</v>
      </c>
      <c r="I118" s="12"/>
    </row>
    <row r="119" spans="1:9" x14ac:dyDescent="0.3">
      <c r="A119" s="11"/>
      <c r="B119" s="12" t="s">
        <v>152</v>
      </c>
      <c r="C119" s="12" t="s">
        <v>887</v>
      </c>
      <c r="D119" s="12" t="s">
        <v>1663</v>
      </c>
      <c r="E119" s="14">
        <v>250</v>
      </c>
      <c r="F119" s="23">
        <v>0.55000000000000004</v>
      </c>
      <c r="G119" s="14">
        <v>0</v>
      </c>
      <c r="H119" s="25" t="s">
        <v>1615</v>
      </c>
      <c r="I119" s="12"/>
    </row>
    <row r="120" spans="1:9" x14ac:dyDescent="0.3">
      <c r="A120" s="11"/>
      <c r="B120" s="12" t="s">
        <v>152</v>
      </c>
      <c r="C120" s="12" t="s">
        <v>888</v>
      </c>
      <c r="D120" s="12" t="s">
        <v>1663</v>
      </c>
      <c r="E120" s="14">
        <v>225</v>
      </c>
      <c r="F120" s="23">
        <v>0.62</v>
      </c>
      <c r="G120" s="14">
        <v>66.305000000000007</v>
      </c>
      <c r="H120" s="25" t="s">
        <v>1615</v>
      </c>
      <c r="I120" s="12"/>
    </row>
    <row r="121" spans="1:9" x14ac:dyDescent="0.3">
      <c r="A121" s="11"/>
      <c r="B121" s="12" t="s">
        <v>152</v>
      </c>
      <c r="C121" s="12" t="s">
        <v>889</v>
      </c>
      <c r="D121" s="12" t="s">
        <v>1652</v>
      </c>
      <c r="E121" s="14">
        <v>150</v>
      </c>
      <c r="F121" s="23">
        <v>0.45</v>
      </c>
      <c r="G121" s="14">
        <v>0</v>
      </c>
      <c r="H121" s="25" t="s">
        <v>1615</v>
      </c>
      <c r="I121" s="12"/>
    </row>
    <row r="122" spans="1:9" x14ac:dyDescent="0.3">
      <c r="A122" s="11"/>
      <c r="B122" s="12" t="s">
        <v>152</v>
      </c>
      <c r="C122" s="12" t="s">
        <v>890</v>
      </c>
      <c r="D122" s="12" t="s">
        <v>1664</v>
      </c>
      <c r="E122" s="14">
        <v>50</v>
      </c>
      <c r="F122" s="23">
        <v>0.56999999999999995</v>
      </c>
      <c r="G122" s="14">
        <v>0</v>
      </c>
      <c r="H122" s="25" t="s">
        <v>1615</v>
      </c>
      <c r="I122" s="12"/>
    </row>
    <row r="123" spans="1:9" x14ac:dyDescent="0.3">
      <c r="A123" s="11"/>
      <c r="B123" s="12" t="s">
        <v>152</v>
      </c>
      <c r="C123" s="12" t="s">
        <v>891</v>
      </c>
      <c r="D123" s="12" t="s">
        <v>1664</v>
      </c>
      <c r="E123" s="14">
        <v>100</v>
      </c>
      <c r="F123" s="23">
        <v>0.52</v>
      </c>
      <c r="G123" s="14">
        <v>0</v>
      </c>
      <c r="H123" s="25" t="s">
        <v>1615</v>
      </c>
      <c r="I123" s="12"/>
    </row>
    <row r="124" spans="1:9" x14ac:dyDescent="0.3">
      <c r="A124" s="11"/>
      <c r="B124" s="12" t="s">
        <v>152</v>
      </c>
      <c r="C124" s="12" t="s">
        <v>892</v>
      </c>
      <c r="D124" s="12" t="s">
        <v>1652</v>
      </c>
      <c r="E124" s="14">
        <v>100</v>
      </c>
      <c r="F124" s="23">
        <v>0.57999999999999996</v>
      </c>
      <c r="G124" s="14">
        <v>0</v>
      </c>
      <c r="H124" s="25" t="s">
        <v>1615</v>
      </c>
      <c r="I124" s="12"/>
    </row>
    <row r="125" spans="1:9" x14ac:dyDescent="0.3">
      <c r="A125" s="11"/>
      <c r="B125" s="12" t="s">
        <v>152</v>
      </c>
      <c r="C125" s="12" t="s">
        <v>893</v>
      </c>
      <c r="D125" s="12" t="s">
        <v>1664</v>
      </c>
      <c r="E125" s="14">
        <v>100</v>
      </c>
      <c r="F125" s="23">
        <v>0.48</v>
      </c>
      <c r="G125" s="14">
        <v>0</v>
      </c>
      <c r="H125" s="25" t="s">
        <v>1615</v>
      </c>
      <c r="I125" s="12"/>
    </row>
    <row r="126" spans="1:9" x14ac:dyDescent="0.3">
      <c r="A126" s="11"/>
      <c r="B126" s="12" t="s">
        <v>152</v>
      </c>
      <c r="C126" s="12" t="s">
        <v>894</v>
      </c>
      <c r="D126" s="12" t="s">
        <v>1665</v>
      </c>
      <c r="E126" s="14">
        <v>75</v>
      </c>
      <c r="F126" s="23">
        <v>0.73</v>
      </c>
      <c r="G126" s="14">
        <v>0</v>
      </c>
      <c r="H126" s="25" t="s">
        <v>1615</v>
      </c>
      <c r="I126" s="12"/>
    </row>
    <row r="127" spans="1:9" x14ac:dyDescent="0.3">
      <c r="A127" s="11"/>
      <c r="B127" s="12" t="s">
        <v>152</v>
      </c>
      <c r="C127" s="12" t="s">
        <v>895</v>
      </c>
      <c r="D127" s="12" t="s">
        <v>1666</v>
      </c>
      <c r="E127" s="14">
        <v>50</v>
      </c>
      <c r="F127" s="23">
        <v>0.57999999999999996</v>
      </c>
      <c r="G127" s="14">
        <v>0</v>
      </c>
      <c r="H127" s="25" t="s">
        <v>1615</v>
      </c>
      <c r="I127" s="12"/>
    </row>
    <row r="128" spans="1:9" x14ac:dyDescent="0.3">
      <c r="A128" s="11"/>
      <c r="B128" s="12" t="s">
        <v>152</v>
      </c>
      <c r="C128" s="12" t="s">
        <v>896</v>
      </c>
      <c r="D128" s="12" t="s">
        <v>1666</v>
      </c>
      <c r="E128" s="14">
        <v>75</v>
      </c>
      <c r="F128" s="23">
        <v>0.48</v>
      </c>
      <c r="G128" s="14">
        <v>0</v>
      </c>
      <c r="H128" s="25" t="s">
        <v>1615</v>
      </c>
      <c r="I128" s="12"/>
    </row>
    <row r="129" spans="1:9" x14ac:dyDescent="0.3">
      <c r="A129" s="11"/>
      <c r="B129" s="12" t="s">
        <v>155</v>
      </c>
      <c r="C129" s="12" t="s">
        <v>897</v>
      </c>
      <c r="D129" s="12" t="s">
        <v>1667</v>
      </c>
      <c r="E129" s="14">
        <v>100</v>
      </c>
      <c r="F129" s="23">
        <v>0.7</v>
      </c>
      <c r="G129" s="14">
        <v>0</v>
      </c>
      <c r="H129" s="25" t="s">
        <v>1615</v>
      </c>
      <c r="I129" s="12"/>
    </row>
    <row r="130" spans="1:9" x14ac:dyDescent="0.3">
      <c r="A130" s="11"/>
      <c r="B130" s="12" t="s">
        <v>153</v>
      </c>
      <c r="C130" s="12" t="s">
        <v>898</v>
      </c>
      <c r="D130" s="12" t="s">
        <v>1668</v>
      </c>
      <c r="E130" s="14">
        <v>150</v>
      </c>
      <c r="F130" s="23">
        <v>0.66</v>
      </c>
      <c r="G130" s="14">
        <v>0</v>
      </c>
      <c r="H130" s="25" t="s">
        <v>1615</v>
      </c>
      <c r="I130" s="12"/>
    </row>
    <row r="131" spans="1:9" x14ac:dyDescent="0.3">
      <c r="A131" s="11"/>
      <c r="B131" s="12" t="s">
        <v>156</v>
      </c>
      <c r="C131" s="12" t="s">
        <v>899</v>
      </c>
      <c r="D131" s="12" t="s">
        <v>1669</v>
      </c>
      <c r="E131" s="14">
        <v>250</v>
      </c>
      <c r="F131" s="23">
        <v>0.65</v>
      </c>
      <c r="G131" s="14">
        <v>0</v>
      </c>
      <c r="H131" s="25" t="s">
        <v>1615</v>
      </c>
      <c r="I131" s="12"/>
    </row>
    <row r="132" spans="1:9" x14ac:dyDescent="0.3">
      <c r="A132" s="11"/>
      <c r="B132" s="12" t="s">
        <v>156</v>
      </c>
      <c r="C132" s="12" t="s">
        <v>900</v>
      </c>
      <c r="D132" s="12" t="s">
        <v>1623</v>
      </c>
      <c r="E132" s="14">
        <v>100</v>
      </c>
      <c r="F132" s="23">
        <v>0.52</v>
      </c>
      <c r="G132" s="14">
        <v>0</v>
      </c>
      <c r="H132" s="25" t="s">
        <v>1615</v>
      </c>
      <c r="I132" s="12"/>
    </row>
    <row r="133" spans="1:9" x14ac:dyDescent="0.3">
      <c r="A133" s="11"/>
      <c r="B133" s="12" t="s">
        <v>156</v>
      </c>
      <c r="C133" s="12" t="s">
        <v>901</v>
      </c>
      <c r="D133" s="12" t="s">
        <v>1623</v>
      </c>
      <c r="E133" s="14">
        <v>200</v>
      </c>
      <c r="F133" s="23">
        <v>0.57999999999999996</v>
      </c>
      <c r="G133" s="14">
        <v>0</v>
      </c>
      <c r="H133" s="25" t="s">
        <v>1615</v>
      </c>
      <c r="I133" s="12"/>
    </row>
    <row r="134" spans="1:9" x14ac:dyDescent="0.3">
      <c r="A134" s="11"/>
      <c r="B134" s="12" t="s">
        <v>156</v>
      </c>
      <c r="C134" s="12" t="s">
        <v>902</v>
      </c>
      <c r="D134" s="12" t="s">
        <v>1670</v>
      </c>
      <c r="E134" s="14">
        <v>150</v>
      </c>
      <c r="F134" s="23">
        <v>0.53</v>
      </c>
      <c r="G134" s="14">
        <v>0</v>
      </c>
      <c r="H134" s="25" t="s">
        <v>1615</v>
      </c>
      <c r="I134" s="12"/>
    </row>
    <row r="135" spans="1:9" x14ac:dyDescent="0.3">
      <c r="A135" s="11"/>
      <c r="B135" s="12" t="s">
        <v>156</v>
      </c>
      <c r="C135" s="12" t="s">
        <v>903</v>
      </c>
      <c r="D135" s="12" t="s">
        <v>1670</v>
      </c>
      <c r="E135" s="14">
        <v>250</v>
      </c>
      <c r="F135" s="23">
        <v>0.6</v>
      </c>
      <c r="G135" s="14">
        <v>10.53</v>
      </c>
      <c r="H135" s="25" t="s">
        <v>1615</v>
      </c>
      <c r="I135" s="12"/>
    </row>
    <row r="136" spans="1:9" x14ac:dyDescent="0.3">
      <c r="A136" s="11"/>
      <c r="B136" s="12" t="s">
        <v>156</v>
      </c>
      <c r="C136" s="12" t="s">
        <v>904</v>
      </c>
      <c r="D136" s="12" t="s">
        <v>1623</v>
      </c>
      <c r="E136" s="14">
        <v>100</v>
      </c>
      <c r="F136" s="23">
        <v>0.61</v>
      </c>
      <c r="G136" s="14">
        <v>0</v>
      </c>
      <c r="H136" s="25" t="s">
        <v>1615</v>
      </c>
      <c r="I136" s="12"/>
    </row>
    <row r="137" spans="1:9" x14ac:dyDescent="0.3">
      <c r="A137" s="11"/>
      <c r="B137" s="12" t="s">
        <v>153</v>
      </c>
      <c r="C137" s="12" t="s">
        <v>905</v>
      </c>
      <c r="D137" s="25" t="s">
        <v>1878</v>
      </c>
      <c r="E137" s="14">
        <v>250</v>
      </c>
      <c r="F137" s="23">
        <v>0.65</v>
      </c>
      <c r="G137" s="14">
        <v>0</v>
      </c>
      <c r="H137" s="25" t="s">
        <v>1615</v>
      </c>
      <c r="I137" s="12"/>
    </row>
    <row r="138" spans="1:9" x14ac:dyDescent="0.3">
      <c r="A138" s="11"/>
      <c r="B138" s="12" t="s">
        <v>154</v>
      </c>
      <c r="C138" s="12" t="s">
        <v>906</v>
      </c>
      <c r="D138" s="12" t="s">
        <v>1671</v>
      </c>
      <c r="E138" s="14">
        <v>100</v>
      </c>
      <c r="F138" s="23">
        <v>0.68</v>
      </c>
      <c r="G138" s="14">
        <v>0</v>
      </c>
      <c r="H138" s="25" t="s">
        <v>1615</v>
      </c>
      <c r="I138" s="12"/>
    </row>
    <row r="139" spans="1:9" x14ac:dyDescent="0.3">
      <c r="A139" s="11"/>
      <c r="B139" s="12" t="s">
        <v>154</v>
      </c>
      <c r="C139" s="12" t="s">
        <v>907</v>
      </c>
      <c r="D139" s="12" t="s">
        <v>1645</v>
      </c>
      <c r="E139" s="14">
        <v>100</v>
      </c>
      <c r="F139" s="23">
        <v>0.45</v>
      </c>
      <c r="G139" s="14">
        <v>0</v>
      </c>
      <c r="H139" s="25" t="s">
        <v>1615</v>
      </c>
      <c r="I139" s="12"/>
    </row>
    <row r="140" spans="1:9" x14ac:dyDescent="0.3">
      <c r="A140" s="11"/>
      <c r="B140" s="12" t="s">
        <v>154</v>
      </c>
      <c r="C140" s="12" t="s">
        <v>908</v>
      </c>
      <c r="D140" s="12" t="s">
        <v>1672</v>
      </c>
      <c r="E140" s="14">
        <v>100</v>
      </c>
      <c r="F140" s="23">
        <v>0.51</v>
      </c>
      <c r="G140" s="14">
        <v>0</v>
      </c>
      <c r="H140" s="25" t="s">
        <v>1615</v>
      </c>
      <c r="I140" s="12"/>
    </row>
    <row r="141" spans="1:9" x14ac:dyDescent="0.3">
      <c r="A141" s="11"/>
      <c r="B141" s="12" t="s">
        <v>154</v>
      </c>
      <c r="C141" s="12" t="s">
        <v>909</v>
      </c>
      <c r="D141" s="12" t="s">
        <v>1645</v>
      </c>
      <c r="E141" s="14">
        <v>75</v>
      </c>
      <c r="F141" s="23">
        <v>0.74</v>
      </c>
      <c r="G141" s="14">
        <v>0</v>
      </c>
      <c r="H141" s="25" t="s">
        <v>1615</v>
      </c>
      <c r="I141" s="12"/>
    </row>
    <row r="142" spans="1:9" x14ac:dyDescent="0.3">
      <c r="A142" s="11"/>
      <c r="B142" s="12" t="s">
        <v>156</v>
      </c>
      <c r="C142" s="12" t="s">
        <v>910</v>
      </c>
      <c r="D142" s="12" t="s">
        <v>1673</v>
      </c>
      <c r="E142" s="14">
        <v>100</v>
      </c>
      <c r="F142" s="23">
        <v>0.7</v>
      </c>
      <c r="G142" s="14">
        <v>0</v>
      </c>
      <c r="H142" s="25" t="s">
        <v>1615</v>
      </c>
      <c r="I142" s="12"/>
    </row>
    <row r="143" spans="1:9" x14ac:dyDescent="0.3">
      <c r="A143" s="11"/>
      <c r="B143" s="12" t="s">
        <v>153</v>
      </c>
      <c r="C143" s="12" t="s">
        <v>911</v>
      </c>
      <c r="D143" s="12" t="s">
        <v>1674</v>
      </c>
      <c r="E143" s="14">
        <v>112.5</v>
      </c>
      <c r="F143" s="23">
        <v>0.72</v>
      </c>
      <c r="G143" s="14">
        <v>0</v>
      </c>
      <c r="H143" s="25" t="s">
        <v>1615</v>
      </c>
      <c r="I143" s="12"/>
    </row>
    <row r="144" spans="1:9" x14ac:dyDescent="0.3">
      <c r="A144" s="11"/>
      <c r="B144" s="12" t="s">
        <v>154</v>
      </c>
      <c r="C144" s="12" t="s">
        <v>912</v>
      </c>
      <c r="D144" s="12" t="s">
        <v>1644</v>
      </c>
      <c r="E144" s="14">
        <v>50</v>
      </c>
      <c r="F144" s="23">
        <v>0.75</v>
      </c>
      <c r="G144" s="14">
        <v>0</v>
      </c>
      <c r="H144" s="25" t="s">
        <v>1615</v>
      </c>
      <c r="I144" s="12"/>
    </row>
    <row r="145" spans="1:9" x14ac:dyDescent="0.3">
      <c r="A145" s="11"/>
      <c r="B145" s="12" t="s">
        <v>155</v>
      </c>
      <c r="C145" s="12" t="s">
        <v>913</v>
      </c>
      <c r="D145" s="12" t="s">
        <v>1675</v>
      </c>
      <c r="E145" s="14">
        <v>150</v>
      </c>
      <c r="F145" s="23">
        <v>0.47</v>
      </c>
      <c r="G145" s="14">
        <v>0</v>
      </c>
      <c r="H145" s="25" t="s">
        <v>1615</v>
      </c>
      <c r="I145" s="12"/>
    </row>
    <row r="146" spans="1:9" x14ac:dyDescent="0.3">
      <c r="A146" s="11"/>
      <c r="B146" s="12" t="s">
        <v>155</v>
      </c>
      <c r="C146" s="12" t="s">
        <v>914</v>
      </c>
      <c r="D146" s="12" t="s">
        <v>1675</v>
      </c>
      <c r="E146" s="14">
        <v>250</v>
      </c>
      <c r="F146" s="23">
        <v>0.48</v>
      </c>
      <c r="G146" s="14">
        <v>0</v>
      </c>
      <c r="H146" s="25" t="s">
        <v>1615</v>
      </c>
      <c r="I146" s="12"/>
    </row>
    <row r="147" spans="1:9" x14ac:dyDescent="0.3">
      <c r="A147" s="11"/>
      <c r="B147" s="12" t="s">
        <v>152</v>
      </c>
      <c r="C147" s="12" t="s">
        <v>915</v>
      </c>
      <c r="D147" s="12" t="s">
        <v>1664</v>
      </c>
      <c r="E147" s="14">
        <v>75</v>
      </c>
      <c r="F147" s="23">
        <v>0.47</v>
      </c>
      <c r="G147" s="14">
        <v>0</v>
      </c>
      <c r="H147" s="25" t="s">
        <v>1615</v>
      </c>
      <c r="I147" s="12"/>
    </row>
    <row r="148" spans="1:9" x14ac:dyDescent="0.3">
      <c r="A148" s="11"/>
      <c r="B148" s="12" t="s">
        <v>152</v>
      </c>
      <c r="C148" s="12" t="s">
        <v>916</v>
      </c>
      <c r="D148" s="12" t="s">
        <v>1664</v>
      </c>
      <c r="E148" s="14">
        <v>50</v>
      </c>
      <c r="F148" s="23">
        <v>0.64</v>
      </c>
      <c r="G148" s="14">
        <v>0</v>
      </c>
      <c r="H148" s="25" t="s">
        <v>1615</v>
      </c>
      <c r="I148" s="12"/>
    </row>
    <row r="149" spans="1:9" x14ac:dyDescent="0.3">
      <c r="A149" s="11"/>
      <c r="B149" s="12" t="s">
        <v>156</v>
      </c>
      <c r="C149" s="12" t="s">
        <v>917</v>
      </c>
      <c r="D149" s="12" t="s">
        <v>1676</v>
      </c>
      <c r="E149" s="14">
        <v>150</v>
      </c>
      <c r="F149" s="23">
        <v>0.7</v>
      </c>
      <c r="G149" s="14">
        <v>0</v>
      </c>
      <c r="H149" s="25" t="s">
        <v>1615</v>
      </c>
      <c r="I149" s="12"/>
    </row>
    <row r="150" spans="1:9" x14ac:dyDescent="0.3">
      <c r="A150" s="11"/>
      <c r="B150" s="12" t="s">
        <v>153</v>
      </c>
      <c r="C150" s="12" t="s">
        <v>918</v>
      </c>
      <c r="D150" s="12" t="s">
        <v>1677</v>
      </c>
      <c r="E150" s="14">
        <v>250</v>
      </c>
      <c r="F150" s="23">
        <v>0.46</v>
      </c>
      <c r="G150" s="14">
        <v>0</v>
      </c>
      <c r="H150" s="25" t="s">
        <v>1615</v>
      </c>
      <c r="I150" s="12"/>
    </row>
    <row r="151" spans="1:9" x14ac:dyDescent="0.3">
      <c r="A151" s="11"/>
      <c r="B151" s="12" t="s">
        <v>153</v>
      </c>
      <c r="C151" s="12" t="s">
        <v>919</v>
      </c>
      <c r="D151" s="12" t="s">
        <v>1678</v>
      </c>
      <c r="E151" s="14">
        <v>250</v>
      </c>
      <c r="F151" s="23">
        <v>0.71</v>
      </c>
      <c r="G151" s="14">
        <v>0</v>
      </c>
      <c r="H151" s="25" t="s">
        <v>1615</v>
      </c>
      <c r="I151" s="12"/>
    </row>
    <row r="152" spans="1:9" x14ac:dyDescent="0.3">
      <c r="A152" s="11"/>
      <c r="B152" s="12" t="s">
        <v>153</v>
      </c>
      <c r="C152" s="12" t="s">
        <v>920</v>
      </c>
      <c r="D152" s="12" t="s">
        <v>1678</v>
      </c>
      <c r="E152" s="14">
        <v>150</v>
      </c>
      <c r="F152" s="23">
        <v>0.68</v>
      </c>
      <c r="G152" s="14">
        <v>0</v>
      </c>
      <c r="H152" s="25" t="s">
        <v>1615</v>
      </c>
      <c r="I152" s="12"/>
    </row>
    <row r="153" spans="1:9" x14ac:dyDescent="0.3">
      <c r="A153" s="11"/>
      <c r="B153" s="12" t="s">
        <v>153</v>
      </c>
      <c r="C153" s="12" t="s">
        <v>921</v>
      </c>
      <c r="D153" s="12" t="s">
        <v>1678</v>
      </c>
      <c r="E153" s="14">
        <v>250</v>
      </c>
      <c r="F153" s="23">
        <v>0.54</v>
      </c>
      <c r="G153" s="14">
        <v>0</v>
      </c>
      <c r="H153" s="25" t="s">
        <v>1615</v>
      </c>
      <c r="I153" s="12"/>
    </row>
    <row r="154" spans="1:9" x14ac:dyDescent="0.3">
      <c r="A154" s="11"/>
      <c r="B154" s="12" t="s">
        <v>153</v>
      </c>
      <c r="C154" s="12" t="s">
        <v>922</v>
      </c>
      <c r="D154" s="12" t="s">
        <v>1678</v>
      </c>
      <c r="E154" s="14">
        <v>250</v>
      </c>
      <c r="F154" s="23">
        <v>0.67</v>
      </c>
      <c r="G154" s="14">
        <v>0</v>
      </c>
      <c r="H154" s="25" t="s">
        <v>1615</v>
      </c>
      <c r="I154" s="12"/>
    </row>
    <row r="155" spans="1:9" x14ac:dyDescent="0.3">
      <c r="A155" s="11"/>
      <c r="B155" s="12" t="s">
        <v>153</v>
      </c>
      <c r="C155" s="12" t="s">
        <v>923</v>
      </c>
      <c r="D155" s="12" t="s">
        <v>1678</v>
      </c>
      <c r="E155" s="14">
        <v>250</v>
      </c>
      <c r="F155" s="23">
        <v>0.48</v>
      </c>
      <c r="G155" s="14">
        <v>0</v>
      </c>
      <c r="H155" s="25" t="s">
        <v>1615</v>
      </c>
      <c r="I155" s="12"/>
    </row>
    <row r="156" spans="1:9" x14ac:dyDescent="0.3">
      <c r="A156" s="11"/>
      <c r="B156" s="12" t="s">
        <v>153</v>
      </c>
      <c r="C156" s="12" t="s">
        <v>924</v>
      </c>
      <c r="D156" s="12" t="s">
        <v>1678</v>
      </c>
      <c r="E156" s="14">
        <v>250</v>
      </c>
      <c r="F156" s="23">
        <v>0.65</v>
      </c>
      <c r="G156" s="14">
        <v>13.77</v>
      </c>
      <c r="H156" s="25" t="s">
        <v>1615</v>
      </c>
      <c r="I156" s="12"/>
    </row>
    <row r="157" spans="1:9" x14ac:dyDescent="0.3">
      <c r="A157" s="11"/>
      <c r="B157" s="12" t="s">
        <v>153</v>
      </c>
      <c r="C157" s="12" t="s">
        <v>925</v>
      </c>
      <c r="D157" s="12" t="s">
        <v>1679</v>
      </c>
      <c r="E157" s="14">
        <v>250</v>
      </c>
      <c r="F157" s="23">
        <v>0.62</v>
      </c>
      <c r="G157" s="14">
        <v>0</v>
      </c>
      <c r="H157" s="25" t="s">
        <v>1615</v>
      </c>
      <c r="I157" s="12"/>
    </row>
    <row r="158" spans="1:9" x14ac:dyDescent="0.3">
      <c r="A158" s="11"/>
      <c r="B158" s="12" t="s">
        <v>154</v>
      </c>
      <c r="C158" s="12" t="s">
        <v>926</v>
      </c>
      <c r="D158" s="12" t="s">
        <v>1648</v>
      </c>
      <c r="E158" s="14">
        <v>100</v>
      </c>
      <c r="F158" s="23">
        <v>0.7</v>
      </c>
      <c r="G158" s="14">
        <v>0</v>
      </c>
      <c r="H158" s="25" t="s">
        <v>1615</v>
      </c>
      <c r="I158" s="12"/>
    </row>
    <row r="159" spans="1:9" x14ac:dyDescent="0.3">
      <c r="A159" s="11"/>
      <c r="B159" s="12" t="s">
        <v>154</v>
      </c>
      <c r="C159" s="12" t="s">
        <v>927</v>
      </c>
      <c r="D159" s="12" t="s">
        <v>1647</v>
      </c>
      <c r="E159" s="14">
        <v>100</v>
      </c>
      <c r="F159" s="23">
        <v>0.67</v>
      </c>
      <c r="G159" s="14">
        <v>0</v>
      </c>
      <c r="H159" s="25" t="s">
        <v>1615</v>
      </c>
      <c r="I159" s="12"/>
    </row>
    <row r="160" spans="1:9" x14ac:dyDescent="0.3">
      <c r="A160" s="11"/>
      <c r="B160" s="12" t="s">
        <v>154</v>
      </c>
      <c r="C160" s="12" t="s">
        <v>928</v>
      </c>
      <c r="D160" s="12" t="s">
        <v>1647</v>
      </c>
      <c r="E160" s="14">
        <v>100</v>
      </c>
      <c r="F160" s="23">
        <v>0.51</v>
      </c>
      <c r="G160" s="14">
        <v>0</v>
      </c>
      <c r="H160" s="25" t="s">
        <v>1615</v>
      </c>
      <c r="I160" s="12"/>
    </row>
    <row r="161" spans="1:9" x14ac:dyDescent="0.3">
      <c r="A161" s="11"/>
      <c r="B161" s="12" t="s">
        <v>154</v>
      </c>
      <c r="C161" s="12" t="s">
        <v>929</v>
      </c>
      <c r="D161" s="12" t="s">
        <v>1648</v>
      </c>
      <c r="E161" s="14">
        <v>100</v>
      </c>
      <c r="F161" s="23">
        <v>0.72</v>
      </c>
      <c r="G161" s="14">
        <v>13.18</v>
      </c>
      <c r="H161" s="25" t="s">
        <v>1615</v>
      </c>
      <c r="I161" s="12"/>
    </row>
    <row r="162" spans="1:9" x14ac:dyDescent="0.3">
      <c r="A162" s="11"/>
      <c r="B162" s="12" t="s">
        <v>154</v>
      </c>
      <c r="C162" s="12" t="s">
        <v>930</v>
      </c>
      <c r="D162" s="12" t="s">
        <v>1647</v>
      </c>
      <c r="E162" s="14">
        <v>50</v>
      </c>
      <c r="F162" s="23">
        <v>0.57999999999999996</v>
      </c>
      <c r="G162" s="14">
        <v>0</v>
      </c>
      <c r="H162" s="25" t="s">
        <v>1615</v>
      </c>
      <c r="I162" s="12"/>
    </row>
    <row r="163" spans="1:9" x14ac:dyDescent="0.3">
      <c r="A163" s="11"/>
      <c r="B163" s="12" t="s">
        <v>151</v>
      </c>
      <c r="C163" s="12" t="s">
        <v>931</v>
      </c>
      <c r="D163" s="12" t="s">
        <v>1680</v>
      </c>
      <c r="E163" s="14">
        <v>400</v>
      </c>
      <c r="F163" s="23">
        <v>0.56999999999999995</v>
      </c>
      <c r="G163" s="14">
        <v>8.1</v>
      </c>
      <c r="H163" s="25" t="s">
        <v>1615</v>
      </c>
      <c r="I163" s="12"/>
    </row>
    <row r="164" spans="1:9" x14ac:dyDescent="0.3">
      <c r="A164" s="11"/>
      <c r="B164" s="12" t="s">
        <v>151</v>
      </c>
      <c r="C164" s="12" t="s">
        <v>932</v>
      </c>
      <c r="D164" s="12" t="s">
        <v>1681</v>
      </c>
      <c r="E164" s="14">
        <v>50</v>
      </c>
      <c r="F164" s="23">
        <v>0.56999999999999995</v>
      </c>
      <c r="G164" s="14">
        <v>0</v>
      </c>
      <c r="H164" s="25" t="s">
        <v>1615</v>
      </c>
      <c r="I164" s="12"/>
    </row>
    <row r="165" spans="1:9" x14ac:dyDescent="0.3">
      <c r="A165" s="11"/>
      <c r="B165" s="12" t="s">
        <v>151</v>
      </c>
      <c r="C165" s="12" t="s">
        <v>933</v>
      </c>
      <c r="D165" s="12" t="s">
        <v>1682</v>
      </c>
      <c r="E165" s="14">
        <v>150</v>
      </c>
      <c r="F165" s="23">
        <v>0.49</v>
      </c>
      <c r="G165" s="14">
        <v>0</v>
      </c>
      <c r="H165" s="25" t="s">
        <v>1615</v>
      </c>
      <c r="I165" s="12"/>
    </row>
    <row r="166" spans="1:9" x14ac:dyDescent="0.3">
      <c r="A166" s="11"/>
      <c r="B166" s="12" t="s">
        <v>151</v>
      </c>
      <c r="C166" s="12" t="s">
        <v>934</v>
      </c>
      <c r="D166" s="12" t="s">
        <v>1681</v>
      </c>
      <c r="E166" s="14">
        <v>100</v>
      </c>
      <c r="F166" s="23">
        <v>0.54</v>
      </c>
      <c r="G166" s="14">
        <v>5.18</v>
      </c>
      <c r="H166" s="25" t="s">
        <v>1615</v>
      </c>
      <c r="I166" s="12"/>
    </row>
    <row r="167" spans="1:9" x14ac:dyDescent="0.3">
      <c r="A167" s="11"/>
      <c r="B167" s="12" t="s">
        <v>151</v>
      </c>
      <c r="C167" s="12" t="s">
        <v>935</v>
      </c>
      <c r="D167" s="12" t="s">
        <v>1683</v>
      </c>
      <c r="E167" s="14">
        <v>100</v>
      </c>
      <c r="F167" s="23">
        <v>0.46</v>
      </c>
      <c r="G167" s="14">
        <v>0</v>
      </c>
      <c r="H167" s="25" t="s">
        <v>1615</v>
      </c>
      <c r="I167" s="12"/>
    </row>
    <row r="168" spans="1:9" x14ac:dyDescent="0.3">
      <c r="A168" s="11"/>
      <c r="B168" s="12" t="s">
        <v>151</v>
      </c>
      <c r="C168" s="12" t="s">
        <v>936</v>
      </c>
      <c r="D168" s="12" t="s">
        <v>1684</v>
      </c>
      <c r="E168" s="14">
        <v>250</v>
      </c>
      <c r="F168" s="23">
        <v>0.51</v>
      </c>
      <c r="G168" s="14">
        <v>5.85</v>
      </c>
      <c r="H168" s="25" t="s">
        <v>1615</v>
      </c>
      <c r="I168" s="12"/>
    </row>
    <row r="169" spans="1:9" x14ac:dyDescent="0.3">
      <c r="A169" s="11"/>
      <c r="B169" s="12" t="s">
        <v>151</v>
      </c>
      <c r="C169" s="12" t="s">
        <v>937</v>
      </c>
      <c r="D169" s="12" t="s">
        <v>1685</v>
      </c>
      <c r="E169" s="14">
        <v>400</v>
      </c>
      <c r="F169" s="23">
        <v>0.69</v>
      </c>
      <c r="G169" s="14">
        <v>0</v>
      </c>
      <c r="H169" s="25" t="s">
        <v>1615</v>
      </c>
      <c r="I169" s="12"/>
    </row>
    <row r="170" spans="1:9" x14ac:dyDescent="0.3">
      <c r="A170" s="11"/>
      <c r="B170" s="12" t="s">
        <v>151</v>
      </c>
      <c r="C170" s="12" t="s">
        <v>938</v>
      </c>
      <c r="D170" s="12" t="s">
        <v>1686</v>
      </c>
      <c r="E170" s="14">
        <v>250</v>
      </c>
      <c r="F170" s="23">
        <v>0.74</v>
      </c>
      <c r="G170" s="14">
        <v>3</v>
      </c>
      <c r="H170" s="25" t="s">
        <v>1615</v>
      </c>
      <c r="I170" s="12"/>
    </row>
    <row r="171" spans="1:9" x14ac:dyDescent="0.3">
      <c r="A171" s="11"/>
      <c r="B171" s="12" t="s">
        <v>151</v>
      </c>
      <c r="C171" s="12" t="s">
        <v>939</v>
      </c>
      <c r="D171" s="12" t="s">
        <v>1687</v>
      </c>
      <c r="E171" s="14">
        <v>150</v>
      </c>
      <c r="F171" s="23">
        <v>0.49</v>
      </c>
      <c r="G171" s="14">
        <v>0</v>
      </c>
      <c r="H171" s="25" t="s">
        <v>1615</v>
      </c>
      <c r="I171" s="12"/>
    </row>
    <row r="172" spans="1:9" x14ac:dyDescent="0.3">
      <c r="A172" s="11"/>
      <c r="B172" s="12" t="s">
        <v>151</v>
      </c>
      <c r="C172" s="12" t="s">
        <v>940</v>
      </c>
      <c r="D172" s="12" t="s">
        <v>1687</v>
      </c>
      <c r="E172" s="14">
        <v>100</v>
      </c>
      <c r="F172" s="23">
        <v>0.53</v>
      </c>
      <c r="G172" s="14">
        <v>0</v>
      </c>
      <c r="H172" s="25" t="s">
        <v>1615</v>
      </c>
      <c r="I172" s="12"/>
    </row>
    <row r="173" spans="1:9" x14ac:dyDescent="0.3">
      <c r="A173" s="11"/>
      <c r="B173" s="12" t="s">
        <v>151</v>
      </c>
      <c r="C173" s="12" t="s">
        <v>941</v>
      </c>
      <c r="D173" s="12" t="s">
        <v>1687</v>
      </c>
      <c r="E173" s="14">
        <v>150</v>
      </c>
      <c r="F173" s="23">
        <v>0.73</v>
      </c>
      <c r="G173" s="14">
        <v>0</v>
      </c>
      <c r="H173" s="25" t="s">
        <v>1615</v>
      </c>
      <c r="I173" s="12"/>
    </row>
    <row r="174" spans="1:9" x14ac:dyDescent="0.3">
      <c r="A174" s="11"/>
      <c r="B174" s="12" t="s">
        <v>151</v>
      </c>
      <c r="C174" s="12" t="s">
        <v>942</v>
      </c>
      <c r="D174" s="12" t="s">
        <v>1688</v>
      </c>
      <c r="E174" s="14">
        <v>150</v>
      </c>
      <c r="F174" s="23">
        <v>0.71</v>
      </c>
      <c r="G174" s="14">
        <v>0</v>
      </c>
      <c r="H174" s="25" t="s">
        <v>1615</v>
      </c>
      <c r="I174" s="12"/>
    </row>
    <row r="175" spans="1:9" x14ac:dyDescent="0.3">
      <c r="A175" s="11"/>
      <c r="B175" s="12" t="s">
        <v>151</v>
      </c>
      <c r="C175" s="12" t="s">
        <v>943</v>
      </c>
      <c r="D175" s="12" t="s">
        <v>1689</v>
      </c>
      <c r="E175" s="14">
        <v>250</v>
      </c>
      <c r="F175" s="23">
        <v>0.52</v>
      </c>
      <c r="G175" s="14">
        <v>0</v>
      </c>
      <c r="H175" s="25" t="s">
        <v>1615</v>
      </c>
      <c r="I175" s="12"/>
    </row>
    <row r="176" spans="1:9" x14ac:dyDescent="0.3">
      <c r="A176" s="11"/>
      <c r="B176" s="12" t="s">
        <v>151</v>
      </c>
      <c r="C176" s="12" t="s">
        <v>944</v>
      </c>
      <c r="D176" s="12" t="s">
        <v>1687</v>
      </c>
      <c r="E176" s="14">
        <v>300</v>
      </c>
      <c r="F176" s="23">
        <v>0.67</v>
      </c>
      <c r="G176" s="14">
        <v>0</v>
      </c>
      <c r="H176" s="25" t="s">
        <v>1615</v>
      </c>
      <c r="I176" s="12"/>
    </row>
    <row r="177" spans="1:9" x14ac:dyDescent="0.3">
      <c r="A177" s="11"/>
      <c r="B177" s="12" t="s">
        <v>151</v>
      </c>
      <c r="C177" s="12" t="s">
        <v>945</v>
      </c>
      <c r="D177" s="12" t="s">
        <v>1690</v>
      </c>
      <c r="E177" s="14">
        <v>300</v>
      </c>
      <c r="F177" s="23">
        <v>0.65</v>
      </c>
      <c r="G177" s="14">
        <v>68.8</v>
      </c>
      <c r="H177" s="25" t="s">
        <v>1615</v>
      </c>
      <c r="I177" s="12"/>
    </row>
    <row r="178" spans="1:9" x14ac:dyDescent="0.3">
      <c r="A178" s="11"/>
      <c r="B178" s="12" t="s">
        <v>151</v>
      </c>
      <c r="C178" s="12" t="s">
        <v>946</v>
      </c>
      <c r="D178" s="12" t="s">
        <v>1687</v>
      </c>
      <c r="E178" s="14">
        <v>150</v>
      </c>
      <c r="F178" s="23">
        <v>0.52</v>
      </c>
      <c r="G178" s="14">
        <v>0</v>
      </c>
      <c r="H178" s="25" t="s">
        <v>1615</v>
      </c>
      <c r="I178" s="12"/>
    </row>
    <row r="179" spans="1:9" x14ac:dyDescent="0.3">
      <c r="A179" s="11"/>
      <c r="B179" s="12" t="s">
        <v>151</v>
      </c>
      <c r="C179" s="12" t="s">
        <v>947</v>
      </c>
      <c r="D179" s="12" t="s">
        <v>1687</v>
      </c>
      <c r="E179" s="14">
        <v>225</v>
      </c>
      <c r="F179" s="23">
        <v>0.73</v>
      </c>
      <c r="G179" s="14">
        <v>0</v>
      </c>
      <c r="H179" s="25" t="s">
        <v>1615</v>
      </c>
      <c r="I179" s="12"/>
    </row>
    <row r="180" spans="1:9" x14ac:dyDescent="0.3">
      <c r="A180" s="11"/>
      <c r="B180" s="12" t="s">
        <v>151</v>
      </c>
      <c r="C180" s="12" t="s">
        <v>948</v>
      </c>
      <c r="D180" s="12" t="s">
        <v>1686</v>
      </c>
      <c r="E180" s="14">
        <v>200</v>
      </c>
      <c r="F180" s="23">
        <v>0.53</v>
      </c>
      <c r="G180" s="14">
        <v>0</v>
      </c>
      <c r="H180" s="25" t="s">
        <v>1615</v>
      </c>
      <c r="I180" s="12"/>
    </row>
    <row r="181" spans="1:9" x14ac:dyDescent="0.3">
      <c r="A181" s="11"/>
      <c r="B181" s="12" t="s">
        <v>151</v>
      </c>
      <c r="C181" s="12" t="s">
        <v>949</v>
      </c>
      <c r="D181" s="12" t="s">
        <v>1688</v>
      </c>
      <c r="E181" s="14">
        <v>75</v>
      </c>
      <c r="F181" s="23">
        <v>0.5</v>
      </c>
      <c r="G181" s="14">
        <v>0</v>
      </c>
      <c r="H181" s="25" t="s">
        <v>1615</v>
      </c>
      <c r="I181" s="12"/>
    </row>
    <row r="182" spans="1:9" x14ac:dyDescent="0.3">
      <c r="A182" s="11"/>
      <c r="B182" s="12" t="s">
        <v>151</v>
      </c>
      <c r="C182" s="12" t="s">
        <v>950</v>
      </c>
      <c r="D182" s="12" t="s">
        <v>1683</v>
      </c>
      <c r="E182" s="14">
        <v>150</v>
      </c>
      <c r="F182" s="23">
        <v>0.48</v>
      </c>
      <c r="G182" s="14">
        <v>0</v>
      </c>
      <c r="H182" s="25" t="s">
        <v>1615</v>
      </c>
      <c r="I182" s="12"/>
    </row>
    <row r="183" spans="1:9" x14ac:dyDescent="0.3">
      <c r="A183" s="11"/>
      <c r="B183" s="12" t="s">
        <v>151</v>
      </c>
      <c r="C183" s="12" t="s">
        <v>951</v>
      </c>
      <c r="D183" s="12" t="s">
        <v>1683</v>
      </c>
      <c r="E183" s="14">
        <v>50</v>
      </c>
      <c r="F183" s="23">
        <v>0.59</v>
      </c>
      <c r="G183" s="14">
        <v>0</v>
      </c>
      <c r="H183" s="25" t="s">
        <v>1615</v>
      </c>
      <c r="I183" s="12"/>
    </row>
    <row r="184" spans="1:9" x14ac:dyDescent="0.3">
      <c r="A184" s="11"/>
      <c r="B184" s="12" t="s">
        <v>151</v>
      </c>
      <c r="C184" s="12" t="s">
        <v>952</v>
      </c>
      <c r="D184" s="12" t="s">
        <v>1691</v>
      </c>
      <c r="E184" s="14">
        <v>150</v>
      </c>
      <c r="F184" s="23">
        <v>0.62</v>
      </c>
      <c r="G184" s="14">
        <v>0</v>
      </c>
      <c r="H184" s="25" t="s">
        <v>1615</v>
      </c>
      <c r="I184" s="12"/>
    </row>
    <row r="185" spans="1:9" x14ac:dyDescent="0.3">
      <c r="A185" s="11"/>
      <c r="B185" s="12" t="s">
        <v>151</v>
      </c>
      <c r="C185" s="12" t="s">
        <v>953</v>
      </c>
      <c r="D185" s="12" t="s">
        <v>1692</v>
      </c>
      <c r="E185" s="14">
        <v>150</v>
      </c>
      <c r="F185" s="23">
        <v>0.61</v>
      </c>
      <c r="G185" s="14">
        <v>0</v>
      </c>
      <c r="H185" s="25" t="s">
        <v>1615</v>
      </c>
      <c r="I185" s="12"/>
    </row>
    <row r="186" spans="1:9" x14ac:dyDescent="0.3">
      <c r="A186" s="11"/>
      <c r="B186" s="12" t="s">
        <v>156</v>
      </c>
      <c r="C186" s="12" t="s">
        <v>954</v>
      </c>
      <c r="D186" s="12" t="s">
        <v>1693</v>
      </c>
      <c r="E186" s="14">
        <v>560</v>
      </c>
      <c r="F186" s="23">
        <v>0.66</v>
      </c>
      <c r="G186" s="14">
        <v>5</v>
      </c>
      <c r="H186" s="25" t="s">
        <v>1615</v>
      </c>
      <c r="I186" s="12"/>
    </row>
    <row r="187" spans="1:9" x14ac:dyDescent="0.3">
      <c r="A187" s="11"/>
      <c r="B187" s="12" t="s">
        <v>156</v>
      </c>
      <c r="C187" s="12" t="s">
        <v>955</v>
      </c>
      <c r="D187" s="12" t="s">
        <v>1694</v>
      </c>
      <c r="E187" s="14">
        <v>300</v>
      </c>
      <c r="F187" s="23">
        <v>0.49</v>
      </c>
      <c r="G187" s="14">
        <v>0</v>
      </c>
      <c r="H187" s="25" t="s">
        <v>1615</v>
      </c>
      <c r="I187" s="12"/>
    </row>
    <row r="188" spans="1:9" x14ac:dyDescent="0.3">
      <c r="A188" s="11"/>
      <c r="B188" s="12" t="s">
        <v>156</v>
      </c>
      <c r="C188" s="12" t="s">
        <v>956</v>
      </c>
      <c r="D188" s="12" t="s">
        <v>1694</v>
      </c>
      <c r="E188" s="14">
        <v>320</v>
      </c>
      <c r="F188" s="23">
        <v>0.7</v>
      </c>
      <c r="G188" s="14">
        <v>5.6</v>
      </c>
      <c r="H188" s="25" t="s">
        <v>1615</v>
      </c>
      <c r="I188" s="12"/>
    </row>
    <row r="189" spans="1:9" x14ac:dyDescent="0.3">
      <c r="A189" s="11"/>
      <c r="B189" s="12" t="s">
        <v>156</v>
      </c>
      <c r="C189" s="12" t="s">
        <v>957</v>
      </c>
      <c r="D189" s="12" t="s">
        <v>1695</v>
      </c>
      <c r="E189" s="14">
        <v>250</v>
      </c>
      <c r="F189" s="23">
        <v>0.67</v>
      </c>
      <c r="G189" s="14">
        <v>0</v>
      </c>
      <c r="H189" s="25" t="s">
        <v>1615</v>
      </c>
      <c r="I189" s="12"/>
    </row>
    <row r="190" spans="1:9" x14ac:dyDescent="0.3">
      <c r="A190" s="11"/>
      <c r="B190" s="12" t="s">
        <v>156</v>
      </c>
      <c r="C190" s="12" t="s">
        <v>958</v>
      </c>
      <c r="D190" s="12" t="s">
        <v>1696</v>
      </c>
      <c r="E190" s="14">
        <v>225</v>
      </c>
      <c r="F190" s="23">
        <v>0.7</v>
      </c>
      <c r="G190" s="14">
        <v>6.57</v>
      </c>
      <c r="H190" s="25" t="s">
        <v>1615</v>
      </c>
      <c r="I190" s="12"/>
    </row>
    <row r="191" spans="1:9" x14ac:dyDescent="0.3">
      <c r="A191" s="11"/>
      <c r="B191" s="12" t="s">
        <v>151</v>
      </c>
      <c r="C191" s="12" t="s">
        <v>959</v>
      </c>
      <c r="D191" s="12" t="s">
        <v>1697</v>
      </c>
      <c r="E191" s="14">
        <v>250</v>
      </c>
      <c r="F191" s="23">
        <v>0.68</v>
      </c>
      <c r="G191" s="14">
        <v>0</v>
      </c>
      <c r="H191" s="25" t="s">
        <v>1615</v>
      </c>
      <c r="I191" s="12"/>
    </row>
    <row r="192" spans="1:9" x14ac:dyDescent="0.3">
      <c r="A192" s="11"/>
      <c r="B192" s="12" t="s">
        <v>151</v>
      </c>
      <c r="C192" s="12" t="s">
        <v>960</v>
      </c>
      <c r="D192" s="12" t="s">
        <v>1698</v>
      </c>
      <c r="E192" s="14">
        <v>250</v>
      </c>
      <c r="F192" s="23">
        <v>0.52</v>
      </c>
      <c r="G192" s="14">
        <v>0</v>
      </c>
      <c r="H192" s="25" t="s">
        <v>1615</v>
      </c>
      <c r="I192" s="12"/>
    </row>
    <row r="193" spans="1:9" x14ac:dyDescent="0.3">
      <c r="A193" s="11"/>
      <c r="B193" s="12" t="s">
        <v>151</v>
      </c>
      <c r="C193" s="12" t="s">
        <v>961</v>
      </c>
      <c r="D193" s="12" t="s">
        <v>1691</v>
      </c>
      <c r="E193" s="14">
        <v>112.5</v>
      </c>
      <c r="F193" s="23">
        <v>0.52</v>
      </c>
      <c r="G193" s="14">
        <v>0</v>
      </c>
      <c r="H193" s="25" t="s">
        <v>1615</v>
      </c>
      <c r="I193" s="12"/>
    </row>
    <row r="194" spans="1:9" x14ac:dyDescent="0.3">
      <c r="A194" s="11"/>
      <c r="B194" s="12" t="s">
        <v>156</v>
      </c>
      <c r="C194" s="12" t="s">
        <v>962</v>
      </c>
      <c r="D194" s="12" t="s">
        <v>1642</v>
      </c>
      <c r="E194" s="14">
        <v>50</v>
      </c>
      <c r="F194" s="23">
        <v>0.75</v>
      </c>
      <c r="G194" s="14">
        <v>0</v>
      </c>
      <c r="H194" s="25" t="s">
        <v>1615</v>
      </c>
      <c r="I194" s="12"/>
    </row>
    <row r="195" spans="1:9" x14ac:dyDescent="0.3">
      <c r="A195" s="11"/>
      <c r="B195" s="12" t="s">
        <v>156</v>
      </c>
      <c r="C195" s="12" t="s">
        <v>963</v>
      </c>
      <c r="D195" s="12" t="s">
        <v>1642</v>
      </c>
      <c r="E195" s="14">
        <v>75</v>
      </c>
      <c r="F195" s="23">
        <v>0.63</v>
      </c>
      <c r="G195" s="14">
        <v>0</v>
      </c>
      <c r="H195" s="25" t="s">
        <v>1615</v>
      </c>
      <c r="I195" s="12"/>
    </row>
    <row r="196" spans="1:9" x14ac:dyDescent="0.3">
      <c r="A196" s="11"/>
      <c r="B196" s="12" t="s">
        <v>156</v>
      </c>
      <c r="C196" s="12" t="s">
        <v>964</v>
      </c>
      <c r="D196" s="12" t="s">
        <v>1642</v>
      </c>
      <c r="E196" s="14">
        <v>75</v>
      </c>
      <c r="F196" s="23">
        <v>0.48</v>
      </c>
      <c r="G196" s="14">
        <v>0</v>
      </c>
      <c r="H196" s="25" t="s">
        <v>1615</v>
      </c>
      <c r="I196" s="12"/>
    </row>
    <row r="197" spans="1:9" x14ac:dyDescent="0.3">
      <c r="A197" s="11"/>
      <c r="B197" s="12" t="s">
        <v>156</v>
      </c>
      <c r="C197" s="12" t="s">
        <v>965</v>
      </c>
      <c r="D197" s="12" t="s">
        <v>1699</v>
      </c>
      <c r="E197" s="14">
        <v>225</v>
      </c>
      <c r="F197" s="23">
        <v>0.5</v>
      </c>
      <c r="G197" s="14">
        <v>0</v>
      </c>
      <c r="H197" s="25" t="s">
        <v>1615</v>
      </c>
      <c r="I197" s="12"/>
    </row>
    <row r="198" spans="1:9" x14ac:dyDescent="0.3">
      <c r="A198" s="11"/>
      <c r="B198" s="12" t="s">
        <v>152</v>
      </c>
      <c r="C198" s="12" t="s">
        <v>966</v>
      </c>
      <c r="D198" s="12" t="s">
        <v>1700</v>
      </c>
      <c r="E198" s="14">
        <v>150</v>
      </c>
      <c r="F198" s="23">
        <v>0.62</v>
      </c>
      <c r="G198" s="14">
        <v>0</v>
      </c>
      <c r="H198" s="25" t="s">
        <v>1615</v>
      </c>
      <c r="I198" s="12"/>
    </row>
    <row r="199" spans="1:9" x14ac:dyDescent="0.3">
      <c r="A199" s="11"/>
      <c r="B199" s="12" t="s">
        <v>152</v>
      </c>
      <c r="C199" s="12" t="s">
        <v>967</v>
      </c>
      <c r="D199" s="12" t="s">
        <v>1701</v>
      </c>
      <c r="E199" s="14">
        <v>75</v>
      </c>
      <c r="F199" s="23">
        <v>0.47</v>
      </c>
      <c r="G199" s="14">
        <v>0</v>
      </c>
      <c r="H199" s="25" t="s">
        <v>1615</v>
      </c>
      <c r="I199" s="12"/>
    </row>
    <row r="200" spans="1:9" x14ac:dyDescent="0.3">
      <c r="A200" s="11"/>
      <c r="B200" s="12" t="s">
        <v>152</v>
      </c>
      <c r="C200" s="12" t="s">
        <v>968</v>
      </c>
      <c r="D200" s="12" t="s">
        <v>1702</v>
      </c>
      <c r="E200" s="14">
        <v>75</v>
      </c>
      <c r="F200" s="23">
        <v>0.51</v>
      </c>
      <c r="G200" s="14">
        <v>0</v>
      </c>
      <c r="H200" s="25" t="s">
        <v>1615</v>
      </c>
      <c r="I200" s="12"/>
    </row>
    <row r="201" spans="1:9" x14ac:dyDescent="0.3">
      <c r="A201" s="11"/>
      <c r="B201" s="12" t="s">
        <v>152</v>
      </c>
      <c r="C201" s="12" t="s">
        <v>969</v>
      </c>
      <c r="D201" s="12" t="s">
        <v>1703</v>
      </c>
      <c r="E201" s="14">
        <v>150</v>
      </c>
      <c r="F201" s="23">
        <v>0.6</v>
      </c>
      <c r="G201" s="14">
        <v>0</v>
      </c>
      <c r="H201" s="25" t="s">
        <v>1615</v>
      </c>
      <c r="I201" s="12"/>
    </row>
    <row r="202" spans="1:9" x14ac:dyDescent="0.3">
      <c r="A202" s="11"/>
      <c r="B202" s="12" t="s">
        <v>152</v>
      </c>
      <c r="C202" s="12" t="s">
        <v>970</v>
      </c>
      <c r="D202" s="12" t="s">
        <v>1703</v>
      </c>
      <c r="E202" s="14">
        <v>150</v>
      </c>
      <c r="F202" s="23">
        <v>0.57999999999999996</v>
      </c>
      <c r="G202" s="14">
        <v>0</v>
      </c>
      <c r="H202" s="25" t="s">
        <v>1615</v>
      </c>
      <c r="I202" s="12"/>
    </row>
    <row r="203" spans="1:9" x14ac:dyDescent="0.3">
      <c r="A203" s="11"/>
      <c r="B203" s="12" t="s">
        <v>152</v>
      </c>
      <c r="C203" s="12" t="s">
        <v>971</v>
      </c>
      <c r="D203" s="12" t="s">
        <v>1704</v>
      </c>
      <c r="E203" s="14">
        <v>150</v>
      </c>
      <c r="F203" s="23">
        <v>0.48</v>
      </c>
      <c r="G203" s="14">
        <v>0</v>
      </c>
      <c r="H203" s="25" t="s">
        <v>1615</v>
      </c>
      <c r="I203" s="12"/>
    </row>
    <row r="204" spans="1:9" x14ac:dyDescent="0.3">
      <c r="A204" s="11"/>
      <c r="B204" s="12" t="s">
        <v>152</v>
      </c>
      <c r="C204" s="12" t="s">
        <v>972</v>
      </c>
      <c r="D204" s="12" t="s">
        <v>1705</v>
      </c>
      <c r="E204" s="14">
        <v>75</v>
      </c>
      <c r="F204" s="23">
        <v>0.65</v>
      </c>
      <c r="G204" s="14">
        <v>0</v>
      </c>
      <c r="H204" s="25" t="s">
        <v>1615</v>
      </c>
      <c r="I204" s="12"/>
    </row>
    <row r="205" spans="1:9" x14ac:dyDescent="0.3">
      <c r="A205" s="11"/>
      <c r="B205" s="12" t="s">
        <v>152</v>
      </c>
      <c r="C205" s="12" t="s">
        <v>973</v>
      </c>
      <c r="D205" s="12" t="s">
        <v>1700</v>
      </c>
      <c r="E205" s="14">
        <v>100</v>
      </c>
      <c r="F205" s="23">
        <v>0.72</v>
      </c>
      <c r="G205" s="14">
        <v>0</v>
      </c>
      <c r="H205" s="25" t="s">
        <v>1615</v>
      </c>
      <c r="I205" s="12"/>
    </row>
    <row r="206" spans="1:9" x14ac:dyDescent="0.3">
      <c r="A206" s="11"/>
      <c r="B206" s="12" t="s">
        <v>152</v>
      </c>
      <c r="C206" s="12" t="s">
        <v>974</v>
      </c>
      <c r="D206" s="12" t="s">
        <v>1700</v>
      </c>
      <c r="E206" s="14">
        <v>150</v>
      </c>
      <c r="F206" s="23">
        <v>0.59</v>
      </c>
      <c r="G206" s="14">
        <v>0</v>
      </c>
      <c r="H206" s="25" t="s">
        <v>1615</v>
      </c>
      <c r="I206" s="12"/>
    </row>
    <row r="207" spans="1:9" x14ac:dyDescent="0.3">
      <c r="A207" s="11"/>
      <c r="B207" s="12" t="s">
        <v>152</v>
      </c>
      <c r="C207" s="12" t="s">
        <v>975</v>
      </c>
      <c r="D207" s="12" t="s">
        <v>1706</v>
      </c>
      <c r="E207" s="14">
        <v>150</v>
      </c>
      <c r="F207" s="23">
        <v>0.75</v>
      </c>
      <c r="G207" s="14">
        <v>0</v>
      </c>
      <c r="H207" s="25" t="s">
        <v>1615</v>
      </c>
      <c r="I207" s="12"/>
    </row>
    <row r="208" spans="1:9" x14ac:dyDescent="0.3">
      <c r="A208" s="11"/>
      <c r="B208" s="12" t="s">
        <v>152</v>
      </c>
      <c r="C208" s="12" t="s">
        <v>976</v>
      </c>
      <c r="D208" s="12" t="s">
        <v>1700</v>
      </c>
      <c r="E208" s="14">
        <v>225</v>
      </c>
      <c r="F208" s="23">
        <v>0.54</v>
      </c>
      <c r="G208" s="14">
        <v>18.63</v>
      </c>
      <c r="H208" s="25" t="s">
        <v>1615</v>
      </c>
      <c r="I208" s="12"/>
    </row>
    <row r="209" spans="1:9" x14ac:dyDescent="0.3">
      <c r="A209" s="11"/>
      <c r="B209" s="12" t="s">
        <v>152</v>
      </c>
      <c r="C209" s="12" t="s">
        <v>977</v>
      </c>
      <c r="D209" s="12" t="s">
        <v>1700</v>
      </c>
      <c r="E209" s="14">
        <v>150</v>
      </c>
      <c r="F209" s="23">
        <v>0.67</v>
      </c>
      <c r="G209" s="14">
        <v>0</v>
      </c>
      <c r="H209" s="25" t="s">
        <v>1615</v>
      </c>
      <c r="I209" s="12"/>
    </row>
    <row r="210" spans="1:9" x14ac:dyDescent="0.3">
      <c r="A210" s="11"/>
      <c r="B210" s="12" t="s">
        <v>152</v>
      </c>
      <c r="C210" s="12" t="s">
        <v>978</v>
      </c>
      <c r="D210" s="12" t="s">
        <v>1707</v>
      </c>
      <c r="E210" s="14">
        <v>150</v>
      </c>
      <c r="F210" s="23">
        <v>0.52</v>
      </c>
      <c r="G210" s="14">
        <v>0</v>
      </c>
      <c r="H210" s="25" t="s">
        <v>1615</v>
      </c>
      <c r="I210" s="12"/>
    </row>
    <row r="211" spans="1:9" x14ac:dyDescent="0.3">
      <c r="A211" s="11"/>
      <c r="B211" s="12" t="s">
        <v>152</v>
      </c>
      <c r="C211" s="12" t="s">
        <v>979</v>
      </c>
      <c r="D211" s="12" t="s">
        <v>1702</v>
      </c>
      <c r="E211" s="14">
        <v>150</v>
      </c>
      <c r="F211" s="23">
        <v>0.55000000000000004</v>
      </c>
      <c r="G211" s="14">
        <v>0</v>
      </c>
      <c r="H211" s="25" t="s">
        <v>1615</v>
      </c>
      <c r="I211" s="12"/>
    </row>
    <row r="212" spans="1:9" x14ac:dyDescent="0.3">
      <c r="A212" s="11"/>
      <c r="B212" s="12" t="s">
        <v>152</v>
      </c>
      <c r="C212" s="12" t="s">
        <v>980</v>
      </c>
      <c r="D212" s="12" t="s">
        <v>1708</v>
      </c>
      <c r="E212" s="14">
        <v>225</v>
      </c>
      <c r="F212" s="23">
        <v>0.57999999999999996</v>
      </c>
      <c r="G212" s="14">
        <v>0</v>
      </c>
      <c r="H212" s="25" t="s">
        <v>1615</v>
      </c>
      <c r="I212" s="12"/>
    </row>
    <row r="213" spans="1:9" x14ac:dyDescent="0.3">
      <c r="A213" s="11"/>
      <c r="B213" s="12" t="s">
        <v>152</v>
      </c>
      <c r="C213" s="12" t="s">
        <v>981</v>
      </c>
      <c r="D213" s="12" t="s">
        <v>1709</v>
      </c>
      <c r="E213" s="14">
        <v>150</v>
      </c>
      <c r="F213" s="23">
        <v>0.71</v>
      </c>
      <c r="G213" s="14">
        <v>0</v>
      </c>
      <c r="H213" s="25" t="s">
        <v>1615</v>
      </c>
      <c r="I213" s="12"/>
    </row>
    <row r="214" spans="1:9" x14ac:dyDescent="0.3">
      <c r="A214" s="11"/>
      <c r="B214" s="12" t="s">
        <v>152</v>
      </c>
      <c r="C214" s="12" t="s">
        <v>982</v>
      </c>
      <c r="D214" s="12" t="s">
        <v>1704</v>
      </c>
      <c r="E214" s="14">
        <v>75</v>
      </c>
      <c r="F214" s="23">
        <v>0.65</v>
      </c>
      <c r="G214" s="14">
        <v>0</v>
      </c>
      <c r="H214" s="25" t="s">
        <v>1615</v>
      </c>
      <c r="I214" s="12"/>
    </row>
    <row r="215" spans="1:9" x14ac:dyDescent="0.3">
      <c r="A215" s="11"/>
      <c r="B215" s="12" t="s">
        <v>152</v>
      </c>
      <c r="C215" s="12" t="s">
        <v>983</v>
      </c>
      <c r="D215" s="12" t="s">
        <v>1709</v>
      </c>
      <c r="E215" s="14">
        <v>150</v>
      </c>
      <c r="F215" s="23">
        <v>0.62</v>
      </c>
      <c r="G215" s="14">
        <v>0</v>
      </c>
      <c r="H215" s="25" t="s">
        <v>1615</v>
      </c>
      <c r="I215" s="12"/>
    </row>
    <row r="216" spans="1:9" x14ac:dyDescent="0.3">
      <c r="A216" s="11"/>
      <c r="B216" s="12" t="s">
        <v>152</v>
      </c>
      <c r="C216" s="12" t="s">
        <v>984</v>
      </c>
      <c r="D216" s="12" t="s">
        <v>1704</v>
      </c>
      <c r="E216" s="14">
        <v>50</v>
      </c>
      <c r="F216" s="23">
        <v>0.47</v>
      </c>
      <c r="G216" s="14">
        <v>0</v>
      </c>
      <c r="H216" s="25" t="s">
        <v>1615</v>
      </c>
      <c r="I216" s="12"/>
    </row>
    <row r="217" spans="1:9" x14ac:dyDescent="0.3">
      <c r="A217" s="11"/>
      <c r="B217" s="12" t="s">
        <v>152</v>
      </c>
      <c r="C217" s="12" t="s">
        <v>985</v>
      </c>
      <c r="D217" s="12" t="s">
        <v>1709</v>
      </c>
      <c r="E217" s="14">
        <v>75</v>
      </c>
      <c r="F217" s="23">
        <v>0.75</v>
      </c>
      <c r="G217" s="14">
        <v>0</v>
      </c>
      <c r="H217" s="25" t="s">
        <v>1615</v>
      </c>
      <c r="I217" s="12"/>
    </row>
    <row r="218" spans="1:9" x14ac:dyDescent="0.3">
      <c r="A218" s="11"/>
      <c r="B218" s="12" t="s">
        <v>152</v>
      </c>
      <c r="C218" s="12" t="s">
        <v>986</v>
      </c>
      <c r="D218" s="12" t="s">
        <v>1703</v>
      </c>
      <c r="E218" s="14">
        <v>75</v>
      </c>
      <c r="F218" s="23">
        <v>0.53</v>
      </c>
      <c r="G218" s="14">
        <v>3.35</v>
      </c>
      <c r="H218" s="25" t="s">
        <v>1615</v>
      </c>
      <c r="I218" s="12"/>
    </row>
    <row r="219" spans="1:9" x14ac:dyDescent="0.3">
      <c r="A219" s="11"/>
      <c r="B219" s="12" t="s">
        <v>152</v>
      </c>
      <c r="C219" s="12" t="s">
        <v>987</v>
      </c>
      <c r="D219" s="12" t="s">
        <v>1705</v>
      </c>
      <c r="E219" s="14">
        <v>250</v>
      </c>
      <c r="F219" s="23">
        <v>0.72</v>
      </c>
      <c r="G219" s="14">
        <v>3.33</v>
      </c>
      <c r="H219" s="25" t="s">
        <v>1615</v>
      </c>
      <c r="I219" s="12"/>
    </row>
    <row r="220" spans="1:9" x14ac:dyDescent="0.3">
      <c r="A220" s="11"/>
      <c r="B220" s="12" t="s">
        <v>152</v>
      </c>
      <c r="C220" s="12" t="s">
        <v>988</v>
      </c>
      <c r="D220" s="12" t="s">
        <v>1702</v>
      </c>
      <c r="E220" s="14">
        <v>250</v>
      </c>
      <c r="F220" s="23">
        <v>0.49</v>
      </c>
      <c r="G220" s="14">
        <v>38.880000000000003</v>
      </c>
      <c r="H220" s="25" t="s">
        <v>1615</v>
      </c>
      <c r="I220" s="12"/>
    </row>
    <row r="221" spans="1:9" x14ac:dyDescent="0.3">
      <c r="A221" s="11"/>
      <c r="B221" s="12" t="s">
        <v>152</v>
      </c>
      <c r="C221" s="12" t="s">
        <v>989</v>
      </c>
      <c r="D221" s="12" t="s">
        <v>1710</v>
      </c>
      <c r="E221" s="14">
        <v>150</v>
      </c>
      <c r="F221" s="23">
        <v>0.49</v>
      </c>
      <c r="G221" s="14">
        <v>0</v>
      </c>
      <c r="H221" s="25" t="s">
        <v>1615</v>
      </c>
      <c r="I221" s="12"/>
    </row>
    <row r="222" spans="1:9" x14ac:dyDescent="0.3">
      <c r="A222" s="11"/>
      <c r="B222" s="12" t="s">
        <v>153</v>
      </c>
      <c r="C222" s="12" t="s">
        <v>990</v>
      </c>
      <c r="D222" s="12" t="s">
        <v>1711</v>
      </c>
      <c r="E222" s="14">
        <v>112.5</v>
      </c>
      <c r="F222" s="23">
        <v>0.61</v>
      </c>
      <c r="G222" s="14">
        <v>0</v>
      </c>
      <c r="H222" s="25" t="s">
        <v>1615</v>
      </c>
      <c r="I222" s="12"/>
    </row>
    <row r="223" spans="1:9" x14ac:dyDescent="0.3">
      <c r="A223" s="11"/>
      <c r="B223" s="12" t="s">
        <v>153</v>
      </c>
      <c r="C223" s="12" t="s">
        <v>991</v>
      </c>
      <c r="D223" s="12" t="s">
        <v>1679</v>
      </c>
      <c r="E223" s="14">
        <v>100</v>
      </c>
      <c r="F223" s="23">
        <v>0.5</v>
      </c>
      <c r="G223" s="14">
        <v>0</v>
      </c>
      <c r="H223" s="25" t="s">
        <v>1615</v>
      </c>
      <c r="I223" s="12"/>
    </row>
    <row r="224" spans="1:9" x14ac:dyDescent="0.3">
      <c r="A224" s="11"/>
      <c r="B224" s="12" t="s">
        <v>156</v>
      </c>
      <c r="C224" s="12" t="s">
        <v>992</v>
      </c>
      <c r="D224" s="12" t="s">
        <v>1712</v>
      </c>
      <c r="E224" s="14">
        <v>75</v>
      </c>
      <c r="F224" s="23">
        <v>0.55000000000000004</v>
      </c>
      <c r="G224" s="14">
        <v>0</v>
      </c>
      <c r="H224" s="25" t="s">
        <v>1615</v>
      </c>
      <c r="I224" s="12"/>
    </row>
    <row r="225" spans="1:9" x14ac:dyDescent="0.3">
      <c r="A225" s="11"/>
      <c r="B225" s="12" t="s">
        <v>156</v>
      </c>
      <c r="C225" s="12" t="s">
        <v>993</v>
      </c>
      <c r="D225" s="12" t="s">
        <v>1713</v>
      </c>
      <c r="E225" s="14">
        <v>50</v>
      </c>
      <c r="F225" s="23">
        <v>0.65</v>
      </c>
      <c r="G225" s="14">
        <v>0</v>
      </c>
      <c r="H225" s="25" t="s">
        <v>1615</v>
      </c>
      <c r="I225" s="12"/>
    </row>
    <row r="226" spans="1:9" x14ac:dyDescent="0.3">
      <c r="A226" s="11"/>
      <c r="B226" s="12" t="s">
        <v>156</v>
      </c>
      <c r="C226" s="12" t="s">
        <v>994</v>
      </c>
      <c r="D226" s="12" t="s">
        <v>1712</v>
      </c>
      <c r="E226" s="14">
        <v>75</v>
      </c>
      <c r="F226" s="23">
        <v>0.74</v>
      </c>
      <c r="G226" s="14">
        <v>0</v>
      </c>
      <c r="H226" s="25" t="s">
        <v>1615</v>
      </c>
      <c r="I226" s="12"/>
    </row>
    <row r="227" spans="1:9" x14ac:dyDescent="0.3">
      <c r="A227" s="11"/>
      <c r="B227" s="12" t="s">
        <v>156</v>
      </c>
      <c r="C227" s="12" t="s">
        <v>995</v>
      </c>
      <c r="D227" s="12" t="s">
        <v>1640</v>
      </c>
      <c r="E227" s="14">
        <v>250</v>
      </c>
      <c r="F227" s="23">
        <v>0.67</v>
      </c>
      <c r="G227" s="14">
        <v>0</v>
      </c>
      <c r="H227" s="25" t="s">
        <v>1615</v>
      </c>
      <c r="I227" s="12"/>
    </row>
    <row r="228" spans="1:9" x14ac:dyDescent="0.3">
      <c r="A228" s="11"/>
      <c r="B228" s="12" t="s">
        <v>156</v>
      </c>
      <c r="C228" s="12" t="s">
        <v>996</v>
      </c>
      <c r="D228" s="12" t="s">
        <v>1714</v>
      </c>
      <c r="E228" s="14">
        <v>300</v>
      </c>
      <c r="F228" s="23">
        <v>0.52</v>
      </c>
      <c r="G228" s="14">
        <v>0</v>
      </c>
      <c r="H228" s="25" t="s">
        <v>1615</v>
      </c>
      <c r="I228" s="12"/>
    </row>
    <row r="229" spans="1:9" x14ac:dyDescent="0.3">
      <c r="A229" s="11"/>
      <c r="B229" s="12" t="s">
        <v>156</v>
      </c>
      <c r="C229" s="12" t="s">
        <v>997</v>
      </c>
      <c r="D229" s="12" t="s">
        <v>1714</v>
      </c>
      <c r="E229" s="14">
        <v>250</v>
      </c>
      <c r="F229" s="23">
        <v>0.65</v>
      </c>
      <c r="G229" s="14">
        <v>0</v>
      </c>
      <c r="H229" s="25" t="s">
        <v>1615</v>
      </c>
      <c r="I229" s="12"/>
    </row>
    <row r="230" spans="1:9" x14ac:dyDescent="0.3">
      <c r="A230" s="11"/>
      <c r="B230" s="12" t="s">
        <v>154</v>
      </c>
      <c r="C230" s="12" t="s">
        <v>998</v>
      </c>
      <c r="D230" s="12" t="s">
        <v>1715</v>
      </c>
      <c r="E230" s="14">
        <v>200</v>
      </c>
      <c r="F230" s="23">
        <v>0.53</v>
      </c>
      <c r="G230" s="14">
        <v>0</v>
      </c>
      <c r="H230" s="25" t="s">
        <v>1615</v>
      </c>
      <c r="I230" s="12"/>
    </row>
    <row r="231" spans="1:9" x14ac:dyDescent="0.3">
      <c r="A231" s="11"/>
      <c r="B231" s="12" t="s">
        <v>154</v>
      </c>
      <c r="C231" s="12" t="s">
        <v>999</v>
      </c>
      <c r="D231" s="12" t="s">
        <v>1716</v>
      </c>
      <c r="E231" s="14">
        <v>100</v>
      </c>
      <c r="F231" s="23">
        <v>0.68</v>
      </c>
      <c r="G231" s="14">
        <v>0</v>
      </c>
      <c r="H231" s="25" t="s">
        <v>1615</v>
      </c>
      <c r="I231" s="12"/>
    </row>
    <row r="232" spans="1:9" x14ac:dyDescent="0.3">
      <c r="A232" s="11"/>
      <c r="B232" s="12" t="s">
        <v>154</v>
      </c>
      <c r="C232" s="12" t="s">
        <v>1000</v>
      </c>
      <c r="D232" s="12" t="s">
        <v>1715</v>
      </c>
      <c r="E232" s="14">
        <v>150</v>
      </c>
      <c r="F232" s="23">
        <v>0.7</v>
      </c>
      <c r="G232" s="14">
        <v>0</v>
      </c>
      <c r="H232" s="25" t="s">
        <v>1615</v>
      </c>
      <c r="I232" s="12"/>
    </row>
    <row r="233" spans="1:9" x14ac:dyDescent="0.3">
      <c r="A233" s="11"/>
      <c r="B233" s="12" t="s">
        <v>156</v>
      </c>
      <c r="C233" s="12" t="s">
        <v>1001</v>
      </c>
      <c r="D233" s="12" t="s">
        <v>1717</v>
      </c>
      <c r="E233" s="14">
        <v>100</v>
      </c>
      <c r="F233" s="23">
        <v>0.72</v>
      </c>
      <c r="G233" s="14">
        <v>0</v>
      </c>
      <c r="H233" s="25" t="s">
        <v>1615</v>
      </c>
      <c r="I233" s="12"/>
    </row>
    <row r="234" spans="1:9" x14ac:dyDescent="0.3">
      <c r="A234" s="11"/>
      <c r="B234" s="12" t="s">
        <v>154</v>
      </c>
      <c r="C234" s="12" t="s">
        <v>1002</v>
      </c>
      <c r="D234" s="12" t="s">
        <v>1715</v>
      </c>
      <c r="E234" s="14">
        <v>150</v>
      </c>
      <c r="F234" s="23">
        <v>0.59</v>
      </c>
      <c r="G234" s="14">
        <v>0</v>
      </c>
      <c r="H234" s="25" t="s">
        <v>1615</v>
      </c>
      <c r="I234" s="12"/>
    </row>
    <row r="235" spans="1:9" x14ac:dyDescent="0.3">
      <c r="A235" s="11"/>
      <c r="B235" s="12" t="s">
        <v>154</v>
      </c>
      <c r="C235" s="12" t="s">
        <v>1003</v>
      </c>
      <c r="D235" s="12" t="s">
        <v>1716</v>
      </c>
      <c r="E235" s="14">
        <v>50</v>
      </c>
      <c r="F235" s="23">
        <v>0.6</v>
      </c>
      <c r="G235" s="14">
        <v>0</v>
      </c>
      <c r="H235" s="25" t="s">
        <v>1615</v>
      </c>
      <c r="I235" s="12"/>
    </row>
    <row r="236" spans="1:9" x14ac:dyDescent="0.3">
      <c r="A236" s="11"/>
      <c r="B236" s="12" t="s">
        <v>154</v>
      </c>
      <c r="C236" s="12" t="s">
        <v>1004</v>
      </c>
      <c r="D236" s="12" t="s">
        <v>1715</v>
      </c>
      <c r="E236" s="14">
        <v>112.5</v>
      </c>
      <c r="F236" s="23">
        <v>0.7</v>
      </c>
      <c r="G236" s="14">
        <v>0</v>
      </c>
      <c r="H236" s="25" t="s">
        <v>1615</v>
      </c>
      <c r="I236" s="12"/>
    </row>
    <row r="237" spans="1:9" x14ac:dyDescent="0.3">
      <c r="A237" s="11"/>
      <c r="B237" s="12" t="s">
        <v>154</v>
      </c>
      <c r="C237" s="12" t="s">
        <v>1005</v>
      </c>
      <c r="D237" s="12" t="s">
        <v>1718</v>
      </c>
      <c r="E237" s="14">
        <v>100</v>
      </c>
      <c r="F237" s="23">
        <v>0.51</v>
      </c>
      <c r="G237" s="14">
        <v>0</v>
      </c>
      <c r="H237" s="25" t="s">
        <v>1615</v>
      </c>
      <c r="I237" s="12"/>
    </row>
    <row r="238" spans="1:9" x14ac:dyDescent="0.3">
      <c r="A238" s="11"/>
      <c r="B238" s="12" t="s">
        <v>154</v>
      </c>
      <c r="C238" s="12" t="s">
        <v>1006</v>
      </c>
      <c r="D238" s="12" t="s">
        <v>1718</v>
      </c>
      <c r="E238" s="14">
        <v>100</v>
      </c>
      <c r="F238" s="23">
        <v>0.69</v>
      </c>
      <c r="G238" s="14">
        <v>0</v>
      </c>
      <c r="H238" s="25" t="s">
        <v>1615</v>
      </c>
      <c r="I238" s="12"/>
    </row>
    <row r="239" spans="1:9" x14ac:dyDescent="0.3">
      <c r="A239" s="11"/>
      <c r="B239" s="12" t="s">
        <v>154</v>
      </c>
      <c r="C239" s="12" t="s">
        <v>1007</v>
      </c>
      <c r="D239" s="12" t="s">
        <v>1719</v>
      </c>
      <c r="E239" s="14">
        <v>225</v>
      </c>
      <c r="F239" s="23">
        <v>0.52</v>
      </c>
      <c r="G239" s="14">
        <v>0</v>
      </c>
      <c r="H239" s="25" t="s">
        <v>1615</v>
      </c>
      <c r="I239" s="12"/>
    </row>
    <row r="240" spans="1:9" x14ac:dyDescent="0.3">
      <c r="A240" s="11"/>
      <c r="B240" s="12" t="s">
        <v>154</v>
      </c>
      <c r="C240" s="12" t="s">
        <v>1008</v>
      </c>
      <c r="D240" s="12" t="s">
        <v>1718</v>
      </c>
      <c r="E240" s="14">
        <v>75</v>
      </c>
      <c r="F240" s="23">
        <v>0.64</v>
      </c>
      <c r="G240" s="14">
        <v>0</v>
      </c>
      <c r="H240" s="25" t="s">
        <v>1615</v>
      </c>
      <c r="I240" s="12"/>
    </row>
    <row r="241" spans="1:9" x14ac:dyDescent="0.3">
      <c r="A241" s="11"/>
      <c r="B241" s="12" t="s">
        <v>154</v>
      </c>
      <c r="C241" s="12" t="s">
        <v>1009</v>
      </c>
      <c r="D241" s="12" t="s">
        <v>1718</v>
      </c>
      <c r="E241" s="14">
        <v>150</v>
      </c>
      <c r="F241" s="23">
        <v>0.48</v>
      </c>
      <c r="G241" s="14">
        <v>0</v>
      </c>
      <c r="H241" s="25" t="s">
        <v>1615</v>
      </c>
      <c r="I241" s="12"/>
    </row>
    <row r="242" spans="1:9" x14ac:dyDescent="0.3">
      <c r="A242" s="11"/>
      <c r="B242" s="12" t="s">
        <v>154</v>
      </c>
      <c r="C242" s="12" t="s">
        <v>1010</v>
      </c>
      <c r="D242" s="12" t="s">
        <v>1720</v>
      </c>
      <c r="E242" s="14">
        <v>150</v>
      </c>
      <c r="F242" s="23">
        <v>0.61</v>
      </c>
      <c r="G242" s="14">
        <v>0</v>
      </c>
      <c r="H242" s="25" t="s">
        <v>1615</v>
      </c>
      <c r="I242" s="12"/>
    </row>
    <row r="243" spans="1:9" x14ac:dyDescent="0.3">
      <c r="A243" s="11"/>
      <c r="B243" s="12" t="s">
        <v>154</v>
      </c>
      <c r="C243" s="12" t="s">
        <v>1011</v>
      </c>
      <c r="D243" s="12" t="s">
        <v>1718</v>
      </c>
      <c r="E243" s="14">
        <v>250</v>
      </c>
      <c r="F243" s="23">
        <v>0.54</v>
      </c>
      <c r="G243" s="14">
        <v>0</v>
      </c>
      <c r="H243" s="25" t="s">
        <v>1615</v>
      </c>
      <c r="I243" s="12"/>
    </row>
    <row r="244" spans="1:9" x14ac:dyDescent="0.3">
      <c r="A244" s="11"/>
      <c r="B244" s="12" t="s">
        <v>154</v>
      </c>
      <c r="C244" s="12" t="s">
        <v>1012</v>
      </c>
      <c r="D244" s="12" t="s">
        <v>1718</v>
      </c>
      <c r="E244" s="14">
        <v>250</v>
      </c>
      <c r="F244" s="23">
        <v>0.46</v>
      </c>
      <c r="G244" s="14">
        <v>0</v>
      </c>
      <c r="H244" s="25" t="s">
        <v>1615</v>
      </c>
      <c r="I244" s="12"/>
    </row>
    <row r="245" spans="1:9" x14ac:dyDescent="0.3">
      <c r="A245" s="11"/>
      <c r="B245" s="12" t="s">
        <v>154</v>
      </c>
      <c r="C245" s="12" t="s">
        <v>1013</v>
      </c>
      <c r="D245" s="12" t="s">
        <v>1719</v>
      </c>
      <c r="E245" s="14">
        <v>112.5</v>
      </c>
      <c r="F245" s="23">
        <v>0.75</v>
      </c>
      <c r="G245" s="14">
        <v>0</v>
      </c>
      <c r="H245" s="25" t="s">
        <v>1615</v>
      </c>
      <c r="I245" s="12"/>
    </row>
    <row r="246" spans="1:9" x14ac:dyDescent="0.3">
      <c r="A246" s="11"/>
      <c r="B246" s="12" t="s">
        <v>154</v>
      </c>
      <c r="C246" s="12" t="s">
        <v>1014</v>
      </c>
      <c r="D246" s="12" t="s">
        <v>1719</v>
      </c>
      <c r="E246" s="14">
        <v>150</v>
      </c>
      <c r="F246" s="23">
        <v>0.67</v>
      </c>
      <c r="G246" s="14">
        <v>0</v>
      </c>
      <c r="H246" s="25" t="s">
        <v>1615</v>
      </c>
      <c r="I246" s="12"/>
    </row>
    <row r="247" spans="1:9" x14ac:dyDescent="0.3">
      <c r="A247" s="11"/>
      <c r="B247" s="12" t="s">
        <v>154</v>
      </c>
      <c r="C247" s="12" t="s">
        <v>1015</v>
      </c>
      <c r="D247" s="12" t="s">
        <v>1719</v>
      </c>
      <c r="E247" s="14">
        <v>112.5</v>
      </c>
      <c r="F247" s="23">
        <v>0.59</v>
      </c>
      <c r="G247" s="14">
        <v>0</v>
      </c>
      <c r="H247" s="25" t="s">
        <v>1615</v>
      </c>
      <c r="I247" s="12"/>
    </row>
    <row r="248" spans="1:9" x14ac:dyDescent="0.3">
      <c r="A248" s="11"/>
      <c r="B248" s="12" t="s">
        <v>154</v>
      </c>
      <c r="C248" s="12" t="s">
        <v>1016</v>
      </c>
      <c r="D248" s="12" t="s">
        <v>1721</v>
      </c>
      <c r="E248" s="14">
        <v>250</v>
      </c>
      <c r="F248" s="23">
        <v>0.69</v>
      </c>
      <c r="G248" s="14">
        <v>0</v>
      </c>
      <c r="H248" s="25" t="s">
        <v>1615</v>
      </c>
      <c r="I248" s="12"/>
    </row>
    <row r="249" spans="1:9" x14ac:dyDescent="0.3">
      <c r="A249" s="11"/>
      <c r="B249" s="12" t="s">
        <v>154</v>
      </c>
      <c r="C249" s="12" t="s">
        <v>1017</v>
      </c>
      <c r="D249" s="12" t="s">
        <v>1721</v>
      </c>
      <c r="E249" s="14">
        <v>160</v>
      </c>
      <c r="F249" s="23">
        <v>0.75</v>
      </c>
      <c r="G249" s="14">
        <v>0</v>
      </c>
      <c r="H249" s="25" t="s">
        <v>1615</v>
      </c>
      <c r="I249" s="12"/>
    </row>
    <row r="250" spans="1:9" x14ac:dyDescent="0.3">
      <c r="A250" s="11"/>
      <c r="B250" s="12" t="s">
        <v>154</v>
      </c>
      <c r="C250" s="12" t="s">
        <v>1018</v>
      </c>
      <c r="D250" s="12" t="s">
        <v>1719</v>
      </c>
      <c r="E250" s="14">
        <v>160</v>
      </c>
      <c r="F250" s="23">
        <v>0.46</v>
      </c>
      <c r="G250" s="14">
        <v>0</v>
      </c>
      <c r="H250" s="25" t="s">
        <v>1615</v>
      </c>
      <c r="I250" s="12"/>
    </row>
    <row r="251" spans="1:9" x14ac:dyDescent="0.3">
      <c r="A251" s="11"/>
      <c r="B251" s="12" t="s">
        <v>154</v>
      </c>
      <c r="C251" s="12" t="s">
        <v>1019</v>
      </c>
      <c r="D251" s="12" t="s">
        <v>1722</v>
      </c>
      <c r="E251" s="14">
        <v>250</v>
      </c>
      <c r="F251" s="23">
        <v>0.56999999999999995</v>
      </c>
      <c r="G251" s="14">
        <v>0</v>
      </c>
      <c r="H251" s="25" t="s">
        <v>1615</v>
      </c>
      <c r="I251" s="12"/>
    </row>
    <row r="252" spans="1:9" x14ac:dyDescent="0.3">
      <c r="A252" s="11"/>
      <c r="B252" s="12" t="s">
        <v>156</v>
      </c>
      <c r="C252" s="12" t="s">
        <v>1020</v>
      </c>
      <c r="D252" s="12" t="s">
        <v>1723</v>
      </c>
      <c r="E252" s="14">
        <v>100</v>
      </c>
      <c r="F252" s="23">
        <v>0.72</v>
      </c>
      <c r="G252" s="14">
        <v>0</v>
      </c>
      <c r="H252" s="25" t="s">
        <v>1615</v>
      </c>
      <c r="I252" s="12"/>
    </row>
    <row r="253" spans="1:9" x14ac:dyDescent="0.3">
      <c r="A253" s="11"/>
      <c r="B253" s="12" t="s">
        <v>156</v>
      </c>
      <c r="C253" s="12" t="s">
        <v>1021</v>
      </c>
      <c r="D253" s="12" t="s">
        <v>1693</v>
      </c>
      <c r="E253" s="14">
        <v>560</v>
      </c>
      <c r="F253" s="23">
        <v>0.62</v>
      </c>
      <c r="G253" s="14">
        <v>0</v>
      </c>
      <c r="H253" s="25" t="s">
        <v>1615</v>
      </c>
      <c r="I253" s="12"/>
    </row>
    <row r="254" spans="1:9" x14ac:dyDescent="0.3">
      <c r="A254" s="11"/>
      <c r="B254" s="12" t="s">
        <v>156</v>
      </c>
      <c r="C254" s="12" t="s">
        <v>1022</v>
      </c>
      <c r="D254" s="12" t="s">
        <v>1693</v>
      </c>
      <c r="E254" s="14">
        <v>300</v>
      </c>
      <c r="F254" s="23">
        <v>0.75</v>
      </c>
      <c r="G254" s="14">
        <v>7.86</v>
      </c>
      <c r="H254" s="25" t="s">
        <v>1615</v>
      </c>
      <c r="I254" s="12"/>
    </row>
    <row r="255" spans="1:9" x14ac:dyDescent="0.3">
      <c r="A255" s="11"/>
      <c r="B255" s="12" t="s">
        <v>156</v>
      </c>
      <c r="C255" s="12" t="s">
        <v>1023</v>
      </c>
      <c r="D255" s="12" t="s">
        <v>1693</v>
      </c>
      <c r="E255" s="14">
        <v>320</v>
      </c>
      <c r="F255" s="23">
        <v>0.46</v>
      </c>
      <c r="G255" s="14">
        <v>0</v>
      </c>
      <c r="H255" s="25" t="s">
        <v>1615</v>
      </c>
      <c r="I255" s="12"/>
    </row>
    <row r="256" spans="1:9" x14ac:dyDescent="0.3">
      <c r="A256" s="11"/>
      <c r="B256" s="12" t="s">
        <v>156</v>
      </c>
      <c r="C256" s="12" t="s">
        <v>1024</v>
      </c>
      <c r="D256" s="12" t="s">
        <v>1724</v>
      </c>
      <c r="E256" s="14">
        <v>320</v>
      </c>
      <c r="F256" s="23">
        <v>0.6</v>
      </c>
      <c r="G256" s="14">
        <v>0</v>
      </c>
      <c r="H256" s="25" t="s">
        <v>1615</v>
      </c>
      <c r="I256" s="12"/>
    </row>
    <row r="257" spans="1:9" x14ac:dyDescent="0.3">
      <c r="A257" s="11"/>
      <c r="B257" s="12" t="s">
        <v>156</v>
      </c>
      <c r="C257" s="12" t="s">
        <v>1025</v>
      </c>
      <c r="D257" s="12" t="s">
        <v>1724</v>
      </c>
      <c r="E257" s="14">
        <v>150</v>
      </c>
      <c r="F257" s="23">
        <v>0.6</v>
      </c>
      <c r="G257" s="14">
        <v>0</v>
      </c>
      <c r="H257" s="25" t="s">
        <v>1615</v>
      </c>
      <c r="I257" s="12"/>
    </row>
    <row r="258" spans="1:9" x14ac:dyDescent="0.3">
      <c r="A258" s="11"/>
      <c r="B258" s="12" t="s">
        <v>156</v>
      </c>
      <c r="C258" s="12" t="s">
        <v>1026</v>
      </c>
      <c r="D258" s="12" t="s">
        <v>1724</v>
      </c>
      <c r="E258" s="14">
        <v>250</v>
      </c>
      <c r="F258" s="23">
        <v>0.55000000000000004</v>
      </c>
      <c r="G258" s="14">
        <v>0</v>
      </c>
      <c r="H258" s="25" t="s">
        <v>1615</v>
      </c>
      <c r="I258" s="12"/>
    </row>
    <row r="259" spans="1:9" x14ac:dyDescent="0.3">
      <c r="A259" s="11"/>
      <c r="B259" s="12" t="s">
        <v>156</v>
      </c>
      <c r="C259" s="12" t="s">
        <v>1027</v>
      </c>
      <c r="D259" s="12" t="s">
        <v>1724</v>
      </c>
      <c r="E259" s="14">
        <v>250</v>
      </c>
      <c r="F259" s="23">
        <v>0.67</v>
      </c>
      <c r="G259" s="14">
        <v>8.0399999999999991</v>
      </c>
      <c r="H259" s="25" t="s">
        <v>1615</v>
      </c>
      <c r="I259" s="12"/>
    </row>
    <row r="260" spans="1:9" x14ac:dyDescent="0.3">
      <c r="A260" s="11"/>
      <c r="B260" s="12" t="s">
        <v>156</v>
      </c>
      <c r="C260" s="12" t="s">
        <v>1028</v>
      </c>
      <c r="D260" s="12" t="s">
        <v>1725</v>
      </c>
      <c r="E260" s="14">
        <v>300</v>
      </c>
      <c r="F260" s="23">
        <v>0.65</v>
      </c>
      <c r="G260" s="14">
        <v>0</v>
      </c>
      <c r="H260" s="25" t="s">
        <v>1615</v>
      </c>
      <c r="I260" s="12"/>
    </row>
    <row r="261" spans="1:9" x14ac:dyDescent="0.3">
      <c r="A261" s="11"/>
      <c r="B261" s="12" t="s">
        <v>156</v>
      </c>
      <c r="C261" s="12" t="s">
        <v>1029</v>
      </c>
      <c r="D261" s="12" t="s">
        <v>1725</v>
      </c>
      <c r="E261" s="14">
        <v>160</v>
      </c>
      <c r="F261" s="23">
        <v>0.49</v>
      </c>
      <c r="G261" s="14">
        <v>0</v>
      </c>
      <c r="H261" s="25" t="s">
        <v>1615</v>
      </c>
      <c r="I261" s="12"/>
    </row>
    <row r="262" spans="1:9" x14ac:dyDescent="0.3">
      <c r="A262" s="11"/>
      <c r="B262" s="12" t="s">
        <v>156</v>
      </c>
      <c r="C262" s="12" t="s">
        <v>1030</v>
      </c>
      <c r="D262" s="12" t="s">
        <v>1694</v>
      </c>
      <c r="E262" s="14">
        <v>300</v>
      </c>
      <c r="F262" s="23">
        <v>0.7</v>
      </c>
      <c r="G262" s="14">
        <v>24.92</v>
      </c>
      <c r="H262" s="25" t="s">
        <v>1615</v>
      </c>
      <c r="I262" s="12"/>
    </row>
    <row r="263" spans="1:9" x14ac:dyDescent="0.3">
      <c r="A263" s="11"/>
      <c r="B263" s="12" t="s">
        <v>156</v>
      </c>
      <c r="C263" s="12" t="s">
        <v>1031</v>
      </c>
      <c r="D263" s="12" t="s">
        <v>1694</v>
      </c>
      <c r="E263" s="14">
        <v>250</v>
      </c>
      <c r="F263" s="23">
        <v>0.73</v>
      </c>
      <c r="G263" s="14">
        <v>0</v>
      </c>
      <c r="H263" s="25" t="s">
        <v>1615</v>
      </c>
      <c r="I263" s="12"/>
    </row>
    <row r="264" spans="1:9" x14ac:dyDescent="0.3">
      <c r="A264" s="11"/>
      <c r="B264" s="12" t="s">
        <v>156</v>
      </c>
      <c r="C264" s="12" t="s">
        <v>1032</v>
      </c>
      <c r="D264" s="12" t="s">
        <v>1726</v>
      </c>
      <c r="E264" s="14">
        <v>112.5</v>
      </c>
      <c r="F264" s="23">
        <v>0.62</v>
      </c>
      <c r="G264" s="14">
        <v>0</v>
      </c>
      <c r="H264" s="25" t="s">
        <v>1615</v>
      </c>
      <c r="I264" s="12"/>
    </row>
    <row r="265" spans="1:9" x14ac:dyDescent="0.3">
      <c r="A265" s="11"/>
      <c r="B265" s="12" t="s">
        <v>156</v>
      </c>
      <c r="C265" s="12" t="s">
        <v>1033</v>
      </c>
      <c r="D265" s="12" t="s">
        <v>1640</v>
      </c>
      <c r="E265" s="14">
        <v>300</v>
      </c>
      <c r="F265" s="23">
        <v>0.74</v>
      </c>
      <c r="G265" s="14">
        <v>10.145</v>
      </c>
      <c r="H265" s="25" t="s">
        <v>1615</v>
      </c>
      <c r="I265" s="12"/>
    </row>
    <row r="266" spans="1:9" x14ac:dyDescent="0.3">
      <c r="A266" s="11"/>
      <c r="B266" s="12" t="s">
        <v>156</v>
      </c>
      <c r="C266" s="12" t="s">
        <v>1034</v>
      </c>
      <c r="D266" s="12" t="s">
        <v>1640</v>
      </c>
      <c r="E266" s="14">
        <v>300</v>
      </c>
      <c r="F266" s="23">
        <v>0.64</v>
      </c>
      <c r="G266" s="14">
        <v>0</v>
      </c>
      <c r="H266" s="25" t="s">
        <v>1615</v>
      </c>
      <c r="I266" s="12"/>
    </row>
    <row r="267" spans="1:9" x14ac:dyDescent="0.3">
      <c r="A267" s="11"/>
      <c r="B267" s="12" t="s">
        <v>156</v>
      </c>
      <c r="C267" s="12" t="s">
        <v>1035</v>
      </c>
      <c r="D267" s="12" t="s">
        <v>1714</v>
      </c>
      <c r="E267" s="14">
        <v>300</v>
      </c>
      <c r="F267" s="23">
        <v>0.63</v>
      </c>
      <c r="G267" s="14">
        <v>0</v>
      </c>
      <c r="H267" s="25" t="s">
        <v>1615</v>
      </c>
      <c r="I267" s="12"/>
    </row>
    <row r="268" spans="1:9" x14ac:dyDescent="0.3">
      <c r="A268" s="11"/>
      <c r="B268" s="12" t="s">
        <v>156</v>
      </c>
      <c r="C268" s="12" t="s">
        <v>1036</v>
      </c>
      <c r="D268" s="12" t="s">
        <v>1723</v>
      </c>
      <c r="E268" s="14">
        <v>300</v>
      </c>
      <c r="F268" s="23">
        <v>0.46</v>
      </c>
      <c r="G268" s="14">
        <v>11.55</v>
      </c>
      <c r="H268" s="25" t="s">
        <v>1615</v>
      </c>
      <c r="I268" s="12"/>
    </row>
    <row r="269" spans="1:9" x14ac:dyDescent="0.3">
      <c r="A269" s="11"/>
      <c r="B269" s="12" t="s">
        <v>156</v>
      </c>
      <c r="C269" s="12" t="s">
        <v>1037</v>
      </c>
      <c r="D269" s="12" t="s">
        <v>1727</v>
      </c>
      <c r="E269" s="14">
        <v>160</v>
      </c>
      <c r="F269" s="23">
        <v>0.64</v>
      </c>
      <c r="G269" s="14">
        <v>0</v>
      </c>
      <c r="H269" s="25" t="s">
        <v>1615</v>
      </c>
      <c r="I269" s="12"/>
    </row>
    <row r="270" spans="1:9" x14ac:dyDescent="0.3">
      <c r="A270" s="11"/>
      <c r="B270" s="12" t="s">
        <v>156</v>
      </c>
      <c r="C270" s="12" t="s">
        <v>1038</v>
      </c>
      <c r="D270" s="12" t="s">
        <v>1714</v>
      </c>
      <c r="E270" s="14">
        <v>160</v>
      </c>
      <c r="F270" s="23">
        <v>0.5</v>
      </c>
      <c r="G270" s="14">
        <v>0</v>
      </c>
      <c r="H270" s="25" t="s">
        <v>1615</v>
      </c>
      <c r="I270" s="12"/>
    </row>
    <row r="271" spans="1:9" x14ac:dyDescent="0.3">
      <c r="A271" s="11"/>
      <c r="B271" s="12" t="s">
        <v>156</v>
      </c>
      <c r="C271" s="12" t="s">
        <v>1039</v>
      </c>
      <c r="D271" s="12" t="s">
        <v>1728</v>
      </c>
      <c r="E271" s="14">
        <v>75</v>
      </c>
      <c r="F271" s="23">
        <v>0.68</v>
      </c>
      <c r="G271" s="14">
        <v>0</v>
      </c>
      <c r="H271" s="25" t="s">
        <v>1615</v>
      </c>
      <c r="I271" s="12"/>
    </row>
    <row r="272" spans="1:9" x14ac:dyDescent="0.3">
      <c r="A272" s="11"/>
      <c r="B272" s="12" t="s">
        <v>156</v>
      </c>
      <c r="C272" s="12" t="s">
        <v>1040</v>
      </c>
      <c r="D272" s="12" t="s">
        <v>1693</v>
      </c>
      <c r="E272" s="14">
        <v>225</v>
      </c>
      <c r="F272" s="23">
        <v>0.68</v>
      </c>
      <c r="G272" s="14">
        <v>0</v>
      </c>
      <c r="H272" s="25" t="s">
        <v>1615</v>
      </c>
      <c r="I272" s="12"/>
    </row>
    <row r="273" spans="1:9" x14ac:dyDescent="0.3">
      <c r="A273" s="11"/>
      <c r="B273" s="12" t="s">
        <v>156</v>
      </c>
      <c r="C273" s="12" t="s">
        <v>1041</v>
      </c>
      <c r="D273" s="12" t="s">
        <v>1729</v>
      </c>
      <c r="E273" s="14">
        <v>400</v>
      </c>
      <c r="F273" s="23">
        <v>0.69</v>
      </c>
      <c r="G273" s="14">
        <v>6.4</v>
      </c>
      <c r="H273" s="25" t="s">
        <v>1615</v>
      </c>
      <c r="I273" s="12"/>
    </row>
    <row r="274" spans="1:9" x14ac:dyDescent="0.3">
      <c r="A274" s="11"/>
      <c r="B274" s="12" t="s">
        <v>153</v>
      </c>
      <c r="C274" s="12" t="s">
        <v>1042</v>
      </c>
      <c r="D274" s="12" t="s">
        <v>1730</v>
      </c>
      <c r="E274" s="14">
        <v>160</v>
      </c>
      <c r="F274" s="23">
        <v>0.45</v>
      </c>
      <c r="G274" s="14">
        <v>0</v>
      </c>
      <c r="H274" s="25" t="s">
        <v>1615</v>
      </c>
      <c r="I274" s="12"/>
    </row>
    <row r="275" spans="1:9" x14ac:dyDescent="0.3">
      <c r="A275" s="11"/>
      <c r="B275" s="12" t="s">
        <v>153</v>
      </c>
      <c r="C275" s="12" t="s">
        <v>1043</v>
      </c>
      <c r="D275" s="12" t="s">
        <v>1730</v>
      </c>
      <c r="E275" s="14">
        <v>150</v>
      </c>
      <c r="F275" s="23">
        <v>0.49</v>
      </c>
      <c r="G275" s="14">
        <v>0</v>
      </c>
      <c r="H275" s="25" t="s">
        <v>1615</v>
      </c>
      <c r="I275" s="12"/>
    </row>
    <row r="276" spans="1:9" x14ac:dyDescent="0.3">
      <c r="A276" s="11"/>
      <c r="B276" s="12" t="s">
        <v>153</v>
      </c>
      <c r="C276" s="12" t="s">
        <v>1044</v>
      </c>
      <c r="D276" s="12" t="s">
        <v>1730</v>
      </c>
      <c r="E276" s="14">
        <v>50</v>
      </c>
      <c r="F276" s="23">
        <v>0.67</v>
      </c>
      <c r="G276" s="14">
        <v>0</v>
      </c>
      <c r="H276" s="25" t="s">
        <v>1615</v>
      </c>
      <c r="I276" s="12"/>
    </row>
    <row r="277" spans="1:9" x14ac:dyDescent="0.3">
      <c r="A277" s="11"/>
      <c r="B277" s="12" t="s">
        <v>153</v>
      </c>
      <c r="C277" s="12" t="s">
        <v>1045</v>
      </c>
      <c r="D277" s="12" t="s">
        <v>1730</v>
      </c>
      <c r="E277" s="14">
        <v>75</v>
      </c>
      <c r="F277" s="23">
        <v>0.63</v>
      </c>
      <c r="G277" s="14">
        <v>0</v>
      </c>
      <c r="H277" s="25" t="s">
        <v>1615</v>
      </c>
      <c r="I277" s="12"/>
    </row>
    <row r="278" spans="1:9" x14ac:dyDescent="0.3">
      <c r="A278" s="11"/>
      <c r="B278" s="12" t="s">
        <v>151</v>
      </c>
      <c r="C278" s="12" t="s">
        <v>1046</v>
      </c>
      <c r="D278" s="12" t="s">
        <v>1731</v>
      </c>
      <c r="E278" s="14">
        <v>150</v>
      </c>
      <c r="F278" s="23">
        <v>0.71</v>
      </c>
      <c r="G278" s="14">
        <v>0</v>
      </c>
      <c r="H278" s="25" t="s">
        <v>1615</v>
      </c>
      <c r="I278" s="12"/>
    </row>
    <row r="279" spans="1:9" x14ac:dyDescent="0.3">
      <c r="A279" s="11"/>
      <c r="B279" s="12" t="s">
        <v>151</v>
      </c>
      <c r="C279" s="12" t="s">
        <v>1047</v>
      </c>
      <c r="D279" s="12" t="s">
        <v>1732</v>
      </c>
      <c r="E279" s="14">
        <v>225</v>
      </c>
      <c r="F279" s="23">
        <v>0.51</v>
      </c>
      <c r="G279" s="14">
        <v>0</v>
      </c>
      <c r="H279" s="25" t="s">
        <v>1615</v>
      </c>
      <c r="I279" s="12"/>
    </row>
    <row r="280" spans="1:9" x14ac:dyDescent="0.3">
      <c r="A280" s="11"/>
      <c r="B280" s="12" t="s">
        <v>156</v>
      </c>
      <c r="C280" s="12" t="s">
        <v>1048</v>
      </c>
      <c r="D280" s="12" t="s">
        <v>1733</v>
      </c>
      <c r="E280" s="14">
        <v>150</v>
      </c>
      <c r="F280" s="23">
        <v>0.59</v>
      </c>
      <c r="G280" s="14">
        <v>0</v>
      </c>
      <c r="H280" s="25" t="s">
        <v>1615</v>
      </c>
      <c r="I280" s="12"/>
    </row>
    <row r="281" spans="1:9" x14ac:dyDescent="0.3">
      <c r="A281" s="11"/>
      <c r="B281" s="12" t="s">
        <v>156</v>
      </c>
      <c r="C281" s="12" t="s">
        <v>1049</v>
      </c>
      <c r="D281" s="12" t="s">
        <v>1699</v>
      </c>
      <c r="E281" s="14">
        <v>150</v>
      </c>
      <c r="F281" s="23">
        <v>0.56000000000000005</v>
      </c>
      <c r="G281" s="14">
        <v>0</v>
      </c>
      <c r="H281" s="25" t="s">
        <v>1615</v>
      </c>
      <c r="I281" s="12"/>
    </row>
    <row r="282" spans="1:9" x14ac:dyDescent="0.3">
      <c r="A282" s="11"/>
      <c r="B282" s="12" t="s">
        <v>151</v>
      </c>
      <c r="C282" s="12" t="s">
        <v>1050</v>
      </c>
      <c r="D282" s="12" t="s">
        <v>1734</v>
      </c>
      <c r="E282" s="14">
        <v>150</v>
      </c>
      <c r="F282" s="23">
        <v>0.72</v>
      </c>
      <c r="G282" s="14">
        <v>0</v>
      </c>
      <c r="H282" s="25" t="s">
        <v>1615</v>
      </c>
      <c r="I282" s="12"/>
    </row>
    <row r="283" spans="1:9" x14ac:dyDescent="0.3">
      <c r="A283" s="11"/>
      <c r="B283" s="12" t="s">
        <v>151</v>
      </c>
      <c r="C283" s="12" t="s">
        <v>1051</v>
      </c>
      <c r="D283" s="12" t="s">
        <v>1735</v>
      </c>
      <c r="E283" s="14">
        <v>225</v>
      </c>
      <c r="F283" s="23">
        <v>0.64</v>
      </c>
      <c r="G283" s="14">
        <v>0</v>
      </c>
      <c r="H283" s="25" t="s">
        <v>1615</v>
      </c>
      <c r="I283" s="12"/>
    </row>
    <row r="284" spans="1:9" x14ac:dyDescent="0.3">
      <c r="A284" s="11"/>
      <c r="B284" s="12" t="s">
        <v>151</v>
      </c>
      <c r="C284" s="12" t="s">
        <v>1052</v>
      </c>
      <c r="D284" s="12" t="s">
        <v>1691</v>
      </c>
      <c r="E284" s="14">
        <v>225</v>
      </c>
      <c r="F284" s="23">
        <v>0.52</v>
      </c>
      <c r="G284" s="14">
        <v>0</v>
      </c>
      <c r="H284" s="25" t="s">
        <v>1615</v>
      </c>
      <c r="I284" s="12"/>
    </row>
    <row r="285" spans="1:9" x14ac:dyDescent="0.3">
      <c r="A285" s="11"/>
      <c r="B285" s="12" t="s">
        <v>151</v>
      </c>
      <c r="C285" s="12" t="s">
        <v>1053</v>
      </c>
      <c r="D285" s="12" t="s">
        <v>1736</v>
      </c>
      <c r="E285" s="14">
        <v>150</v>
      </c>
      <c r="F285" s="23">
        <v>0.62</v>
      </c>
      <c r="G285" s="14">
        <v>0</v>
      </c>
      <c r="H285" s="25" t="s">
        <v>1615</v>
      </c>
      <c r="I285" s="12"/>
    </row>
    <row r="286" spans="1:9" x14ac:dyDescent="0.3">
      <c r="A286" s="11"/>
      <c r="B286" s="12" t="s">
        <v>153</v>
      </c>
      <c r="C286" s="12" t="s">
        <v>1054</v>
      </c>
      <c r="D286" s="12" t="s">
        <v>1616</v>
      </c>
      <c r="E286" s="14">
        <v>150</v>
      </c>
      <c r="F286" s="23">
        <v>0.56000000000000005</v>
      </c>
      <c r="G286" s="14">
        <v>0</v>
      </c>
      <c r="H286" s="25" t="s">
        <v>1615</v>
      </c>
      <c r="I286" s="12"/>
    </row>
    <row r="287" spans="1:9" x14ac:dyDescent="0.3">
      <c r="A287" s="11"/>
      <c r="B287" s="12" t="s">
        <v>153</v>
      </c>
      <c r="C287" s="12" t="s">
        <v>1055</v>
      </c>
      <c r="D287" s="12" t="s">
        <v>1737</v>
      </c>
      <c r="E287" s="14">
        <v>50</v>
      </c>
      <c r="F287" s="23">
        <v>0.75</v>
      </c>
      <c r="G287" s="14">
        <v>0</v>
      </c>
      <c r="H287" s="25" t="s">
        <v>1615</v>
      </c>
      <c r="I287" s="12"/>
    </row>
    <row r="288" spans="1:9" x14ac:dyDescent="0.3">
      <c r="A288" s="11"/>
      <c r="B288" s="12" t="s">
        <v>153</v>
      </c>
      <c r="C288" s="12" t="s">
        <v>1056</v>
      </c>
      <c r="D288" s="12" t="s">
        <v>1737</v>
      </c>
      <c r="E288" s="14">
        <v>150</v>
      </c>
      <c r="F288" s="23">
        <v>0.67</v>
      </c>
      <c r="G288" s="14">
        <v>0</v>
      </c>
      <c r="H288" s="25" t="s">
        <v>1615</v>
      </c>
      <c r="I288" s="12"/>
    </row>
    <row r="289" spans="1:9" x14ac:dyDescent="0.3">
      <c r="A289" s="11"/>
      <c r="B289" s="12" t="s">
        <v>153</v>
      </c>
      <c r="C289" s="12" t="s">
        <v>1057</v>
      </c>
      <c r="D289" s="12" t="s">
        <v>1737</v>
      </c>
      <c r="E289" s="14">
        <v>160</v>
      </c>
      <c r="F289" s="23">
        <v>0.71</v>
      </c>
      <c r="G289" s="14">
        <v>0</v>
      </c>
      <c r="H289" s="25" t="s">
        <v>1615</v>
      </c>
      <c r="I289" s="12"/>
    </row>
    <row r="290" spans="1:9" x14ac:dyDescent="0.3">
      <c r="A290" s="11"/>
      <c r="B290" s="12" t="s">
        <v>156</v>
      </c>
      <c r="C290" s="12" t="s">
        <v>1058</v>
      </c>
      <c r="D290" s="12" t="s">
        <v>1738</v>
      </c>
      <c r="E290" s="14">
        <v>150</v>
      </c>
      <c r="F290" s="23">
        <v>0.5</v>
      </c>
      <c r="G290" s="14">
        <v>0</v>
      </c>
      <c r="H290" s="25" t="s">
        <v>1615</v>
      </c>
      <c r="I290" s="12"/>
    </row>
    <row r="291" spans="1:9" x14ac:dyDescent="0.3">
      <c r="A291" s="11"/>
      <c r="B291" s="12" t="s">
        <v>156</v>
      </c>
      <c r="C291" s="12" t="s">
        <v>1059</v>
      </c>
      <c r="D291" s="12" t="s">
        <v>1738</v>
      </c>
      <c r="E291" s="14">
        <v>250</v>
      </c>
      <c r="F291" s="23">
        <v>0.65</v>
      </c>
      <c r="G291" s="14">
        <v>115.7</v>
      </c>
      <c r="H291" s="25" t="s">
        <v>1615</v>
      </c>
      <c r="I291" s="12"/>
    </row>
    <row r="292" spans="1:9" x14ac:dyDescent="0.3">
      <c r="A292" s="11"/>
      <c r="B292" s="12" t="s">
        <v>156</v>
      </c>
      <c r="C292" s="12" t="s">
        <v>1060</v>
      </c>
      <c r="D292" s="12" t="s">
        <v>1738</v>
      </c>
      <c r="E292" s="14">
        <v>37.5</v>
      </c>
      <c r="F292" s="23">
        <v>0.72</v>
      </c>
      <c r="G292" s="14">
        <v>0</v>
      </c>
      <c r="H292" s="25" t="s">
        <v>1615</v>
      </c>
      <c r="I292" s="12"/>
    </row>
    <row r="293" spans="1:9" x14ac:dyDescent="0.3">
      <c r="A293" s="11"/>
      <c r="B293" s="12" t="s">
        <v>156</v>
      </c>
      <c r="C293" s="12" t="s">
        <v>1061</v>
      </c>
      <c r="D293" s="12" t="s">
        <v>1738</v>
      </c>
      <c r="E293" s="14">
        <v>150</v>
      </c>
      <c r="F293" s="23">
        <v>0.45</v>
      </c>
      <c r="G293" s="14">
        <v>0</v>
      </c>
      <c r="H293" s="25" t="s">
        <v>1615</v>
      </c>
      <c r="I293" s="12"/>
    </row>
    <row r="294" spans="1:9" x14ac:dyDescent="0.3">
      <c r="A294" s="11"/>
      <c r="B294" s="12" t="s">
        <v>156</v>
      </c>
      <c r="C294" s="12" t="s">
        <v>1062</v>
      </c>
      <c r="D294" s="12" t="s">
        <v>1738</v>
      </c>
      <c r="E294" s="14">
        <v>250</v>
      </c>
      <c r="F294" s="23">
        <v>0.52</v>
      </c>
      <c r="G294" s="14">
        <v>5.34</v>
      </c>
      <c r="H294" s="25" t="s">
        <v>1615</v>
      </c>
      <c r="I294" s="12"/>
    </row>
    <row r="295" spans="1:9" x14ac:dyDescent="0.3">
      <c r="A295" s="11"/>
      <c r="B295" s="12" t="s">
        <v>156</v>
      </c>
      <c r="C295" s="12" t="s">
        <v>1063</v>
      </c>
      <c r="D295" s="12" t="s">
        <v>1699</v>
      </c>
      <c r="E295" s="14">
        <v>100</v>
      </c>
      <c r="F295" s="23">
        <v>0.69</v>
      </c>
      <c r="G295" s="14">
        <v>0</v>
      </c>
      <c r="H295" s="25" t="s">
        <v>1615</v>
      </c>
      <c r="I295" s="12"/>
    </row>
    <row r="296" spans="1:9" x14ac:dyDescent="0.3">
      <c r="A296" s="11"/>
      <c r="B296" s="12" t="s">
        <v>156</v>
      </c>
      <c r="C296" s="12" t="s">
        <v>1064</v>
      </c>
      <c r="D296" s="12" t="s">
        <v>1696</v>
      </c>
      <c r="E296" s="14">
        <v>320</v>
      </c>
      <c r="F296" s="23">
        <v>0.61</v>
      </c>
      <c r="G296" s="14">
        <v>0</v>
      </c>
      <c r="H296" s="25" t="s">
        <v>1615</v>
      </c>
      <c r="I296" s="12"/>
    </row>
    <row r="297" spans="1:9" x14ac:dyDescent="0.3">
      <c r="A297" s="11"/>
      <c r="B297" s="12" t="s">
        <v>152</v>
      </c>
      <c r="C297" s="12" t="s">
        <v>1065</v>
      </c>
      <c r="D297" s="12" t="s">
        <v>1739</v>
      </c>
      <c r="E297" s="14">
        <v>150</v>
      </c>
      <c r="F297" s="23">
        <v>0.46</v>
      </c>
      <c r="G297" s="14">
        <v>0</v>
      </c>
      <c r="H297" s="25" t="s">
        <v>1615</v>
      </c>
      <c r="I297" s="12"/>
    </row>
    <row r="298" spans="1:9" x14ac:dyDescent="0.3">
      <c r="A298" s="11"/>
      <c r="B298" s="12" t="s">
        <v>152</v>
      </c>
      <c r="C298" s="12" t="s">
        <v>1066</v>
      </c>
      <c r="D298" s="12" t="s">
        <v>1660</v>
      </c>
      <c r="E298" s="14">
        <v>150</v>
      </c>
      <c r="F298" s="23">
        <v>0.62</v>
      </c>
      <c r="G298" s="14">
        <v>0</v>
      </c>
      <c r="H298" s="25" t="s">
        <v>1615</v>
      </c>
      <c r="I298" s="12"/>
    </row>
    <row r="299" spans="1:9" x14ac:dyDescent="0.3">
      <c r="A299" s="11"/>
      <c r="B299" s="12" t="s">
        <v>156</v>
      </c>
      <c r="C299" s="12" t="s">
        <v>1067</v>
      </c>
      <c r="D299" s="12" t="s">
        <v>1740</v>
      </c>
      <c r="E299" s="14">
        <v>225</v>
      </c>
      <c r="F299" s="23">
        <v>0.6</v>
      </c>
      <c r="G299" s="14">
        <v>9.4499999999999993</v>
      </c>
      <c r="H299" s="25" t="s">
        <v>1615</v>
      </c>
      <c r="I299" s="12"/>
    </row>
    <row r="300" spans="1:9" x14ac:dyDescent="0.3">
      <c r="A300" s="11"/>
      <c r="B300" s="12" t="s">
        <v>156</v>
      </c>
      <c r="C300" s="12" t="s">
        <v>1068</v>
      </c>
      <c r="D300" s="12" t="s">
        <v>1741</v>
      </c>
      <c r="E300" s="14">
        <v>150</v>
      </c>
      <c r="F300" s="23">
        <v>0.64</v>
      </c>
      <c r="G300" s="14">
        <v>0</v>
      </c>
      <c r="H300" s="25" t="s">
        <v>1615</v>
      </c>
      <c r="I300" s="12"/>
    </row>
    <row r="301" spans="1:9" x14ac:dyDescent="0.3">
      <c r="A301" s="11"/>
      <c r="B301" s="12" t="s">
        <v>156</v>
      </c>
      <c r="C301" s="12" t="s">
        <v>1069</v>
      </c>
      <c r="D301" s="12" t="s">
        <v>1696</v>
      </c>
      <c r="E301" s="14">
        <v>150</v>
      </c>
      <c r="F301" s="23">
        <v>0.57999999999999996</v>
      </c>
      <c r="G301" s="14">
        <v>0</v>
      </c>
      <c r="H301" s="25" t="s">
        <v>1615</v>
      </c>
      <c r="I301" s="12"/>
    </row>
    <row r="302" spans="1:9" x14ac:dyDescent="0.3">
      <c r="A302" s="11"/>
      <c r="B302" s="12" t="s">
        <v>156</v>
      </c>
      <c r="C302" s="12" t="s">
        <v>1070</v>
      </c>
      <c r="D302" s="12" t="s">
        <v>1696</v>
      </c>
      <c r="E302" s="14">
        <v>75</v>
      </c>
      <c r="F302" s="23">
        <v>0.68</v>
      </c>
      <c r="G302" s="14">
        <v>0</v>
      </c>
      <c r="H302" s="25" t="s">
        <v>1615</v>
      </c>
      <c r="I302" s="12"/>
    </row>
    <row r="303" spans="1:9" x14ac:dyDescent="0.3">
      <c r="A303" s="11"/>
      <c r="B303" s="12" t="s">
        <v>156</v>
      </c>
      <c r="C303" s="12" t="s">
        <v>1071</v>
      </c>
      <c r="D303" s="12" t="s">
        <v>1741</v>
      </c>
      <c r="E303" s="14">
        <v>320</v>
      </c>
      <c r="F303" s="23">
        <v>0.48</v>
      </c>
      <c r="G303" s="14">
        <v>0</v>
      </c>
      <c r="H303" s="25" t="s">
        <v>1615</v>
      </c>
      <c r="I303" s="12"/>
    </row>
    <row r="304" spans="1:9" x14ac:dyDescent="0.3">
      <c r="A304" s="11"/>
      <c r="B304" s="12" t="s">
        <v>156</v>
      </c>
      <c r="C304" s="12" t="s">
        <v>1072</v>
      </c>
      <c r="D304" s="12" t="s">
        <v>1656</v>
      </c>
      <c r="E304" s="14">
        <v>250</v>
      </c>
      <c r="F304" s="23">
        <v>0.63</v>
      </c>
      <c r="G304" s="14">
        <v>5</v>
      </c>
      <c r="H304" s="25" t="s">
        <v>1615</v>
      </c>
      <c r="I304" s="12"/>
    </row>
    <row r="305" spans="1:9" x14ac:dyDescent="0.3">
      <c r="A305" s="11"/>
      <c r="B305" s="12" t="s">
        <v>156</v>
      </c>
      <c r="C305" s="12" t="s">
        <v>1073</v>
      </c>
      <c r="D305" s="12" t="s">
        <v>1741</v>
      </c>
      <c r="E305" s="14">
        <v>150</v>
      </c>
      <c r="F305" s="23">
        <v>0.51</v>
      </c>
      <c r="G305" s="14">
        <v>0</v>
      </c>
      <c r="H305" s="25" t="s">
        <v>1615</v>
      </c>
      <c r="I305" s="12"/>
    </row>
    <row r="306" spans="1:9" x14ac:dyDescent="0.3">
      <c r="A306" s="11"/>
      <c r="B306" s="12" t="s">
        <v>156</v>
      </c>
      <c r="C306" s="12" t="s">
        <v>1074</v>
      </c>
      <c r="D306" s="12" t="s">
        <v>1741</v>
      </c>
      <c r="E306" s="14">
        <v>150</v>
      </c>
      <c r="F306" s="23">
        <v>0.47</v>
      </c>
      <c r="G306" s="14">
        <v>109.63</v>
      </c>
      <c r="H306" s="25" t="s">
        <v>1615</v>
      </c>
      <c r="I306" s="12"/>
    </row>
    <row r="307" spans="1:9" x14ac:dyDescent="0.3">
      <c r="A307" s="11"/>
      <c r="B307" s="12" t="s">
        <v>151</v>
      </c>
      <c r="C307" s="12" t="s">
        <v>1075</v>
      </c>
      <c r="D307" s="12" t="s">
        <v>1742</v>
      </c>
      <c r="E307" s="14">
        <v>112.5</v>
      </c>
      <c r="F307" s="23">
        <v>0.7</v>
      </c>
      <c r="G307" s="14">
        <v>0</v>
      </c>
      <c r="H307" s="25" t="s">
        <v>1615</v>
      </c>
      <c r="I307" s="12"/>
    </row>
    <row r="308" spans="1:9" x14ac:dyDescent="0.3">
      <c r="A308" s="11"/>
      <c r="B308" s="12" t="s">
        <v>151</v>
      </c>
      <c r="C308" s="12" t="s">
        <v>1076</v>
      </c>
      <c r="D308" s="12" t="s">
        <v>1686</v>
      </c>
      <c r="E308" s="14">
        <v>250</v>
      </c>
      <c r="F308" s="23">
        <v>0.51</v>
      </c>
      <c r="G308" s="14">
        <v>0</v>
      </c>
      <c r="H308" s="25" t="s">
        <v>1615</v>
      </c>
      <c r="I308" s="12"/>
    </row>
    <row r="309" spans="1:9" x14ac:dyDescent="0.3">
      <c r="A309" s="11"/>
      <c r="B309" s="12" t="s">
        <v>151</v>
      </c>
      <c r="C309" s="12" t="s">
        <v>1077</v>
      </c>
      <c r="D309" s="12" t="s">
        <v>1686</v>
      </c>
      <c r="E309" s="14">
        <v>300</v>
      </c>
      <c r="F309" s="23">
        <v>0.64</v>
      </c>
      <c r="G309" s="14">
        <v>0</v>
      </c>
      <c r="H309" s="25" t="s">
        <v>1615</v>
      </c>
      <c r="I309" s="12"/>
    </row>
    <row r="310" spans="1:9" x14ac:dyDescent="0.3">
      <c r="A310" s="11"/>
      <c r="B310" s="12" t="s">
        <v>151</v>
      </c>
      <c r="C310" s="12" t="s">
        <v>1078</v>
      </c>
      <c r="D310" s="12" t="s">
        <v>1743</v>
      </c>
      <c r="E310" s="14">
        <v>75</v>
      </c>
      <c r="F310" s="23">
        <v>0.48</v>
      </c>
      <c r="G310" s="14">
        <v>0</v>
      </c>
      <c r="H310" s="25" t="s">
        <v>1615</v>
      </c>
      <c r="I310" s="12"/>
    </row>
    <row r="311" spans="1:9" x14ac:dyDescent="0.3">
      <c r="A311" s="11"/>
      <c r="B311" s="12" t="s">
        <v>151</v>
      </c>
      <c r="C311" s="12" t="s">
        <v>1079</v>
      </c>
      <c r="D311" s="12" t="s">
        <v>1686</v>
      </c>
      <c r="E311" s="14">
        <v>150</v>
      </c>
      <c r="F311" s="23">
        <v>0.71</v>
      </c>
      <c r="G311" s="14">
        <v>0</v>
      </c>
      <c r="H311" s="25" t="s">
        <v>1615</v>
      </c>
      <c r="I311" s="12"/>
    </row>
    <row r="312" spans="1:9" x14ac:dyDescent="0.3">
      <c r="A312" s="11"/>
      <c r="B312" s="12" t="s">
        <v>151</v>
      </c>
      <c r="C312" s="12" t="s">
        <v>1080</v>
      </c>
      <c r="D312" s="12" t="s">
        <v>1697</v>
      </c>
      <c r="E312" s="14">
        <v>225</v>
      </c>
      <c r="F312" s="23">
        <v>0.67</v>
      </c>
      <c r="G312" s="14">
        <v>4.76</v>
      </c>
      <c r="H312" s="25" t="s">
        <v>1615</v>
      </c>
      <c r="I312" s="12"/>
    </row>
    <row r="313" spans="1:9" x14ac:dyDescent="0.3">
      <c r="A313" s="11"/>
      <c r="B313" s="12" t="s">
        <v>151</v>
      </c>
      <c r="C313" s="12" t="s">
        <v>1081</v>
      </c>
      <c r="D313" s="12" t="s">
        <v>1681</v>
      </c>
      <c r="E313" s="14">
        <v>150</v>
      </c>
      <c r="F313" s="23">
        <v>0.56000000000000005</v>
      </c>
      <c r="G313" s="14">
        <v>0</v>
      </c>
      <c r="H313" s="25" t="s">
        <v>1615</v>
      </c>
      <c r="I313" s="12"/>
    </row>
    <row r="314" spans="1:9" x14ac:dyDescent="0.3">
      <c r="A314" s="11"/>
      <c r="B314" s="12" t="s">
        <v>151</v>
      </c>
      <c r="C314" s="12" t="s">
        <v>1082</v>
      </c>
      <c r="D314" s="12" t="s">
        <v>1681</v>
      </c>
      <c r="E314" s="14">
        <v>75</v>
      </c>
      <c r="F314" s="23">
        <v>0.68</v>
      </c>
      <c r="G314" s="14">
        <v>0</v>
      </c>
      <c r="H314" s="25" t="s">
        <v>1615</v>
      </c>
      <c r="I314" s="12"/>
    </row>
    <row r="315" spans="1:9" x14ac:dyDescent="0.3">
      <c r="A315" s="11"/>
      <c r="B315" s="12" t="s">
        <v>151</v>
      </c>
      <c r="C315" s="12" t="s">
        <v>1083</v>
      </c>
      <c r="D315" s="12" t="s">
        <v>1681</v>
      </c>
      <c r="E315" s="14">
        <v>250</v>
      </c>
      <c r="F315" s="23">
        <v>0.56000000000000005</v>
      </c>
      <c r="G315" s="14">
        <v>0</v>
      </c>
      <c r="H315" s="25" t="s">
        <v>1615</v>
      </c>
      <c r="I315" s="12"/>
    </row>
    <row r="316" spans="1:9" x14ac:dyDescent="0.3">
      <c r="A316" s="11"/>
      <c r="B316" s="12" t="s">
        <v>151</v>
      </c>
      <c r="C316" s="12" t="s">
        <v>1084</v>
      </c>
      <c r="D316" s="12" t="s">
        <v>1681</v>
      </c>
      <c r="E316" s="14">
        <v>100</v>
      </c>
      <c r="F316" s="23">
        <v>0.75</v>
      </c>
      <c r="G316" s="14">
        <v>0</v>
      </c>
      <c r="H316" s="25" t="s">
        <v>1615</v>
      </c>
      <c r="I316" s="12"/>
    </row>
    <row r="317" spans="1:9" x14ac:dyDescent="0.3">
      <c r="A317" s="11"/>
      <c r="B317" s="12" t="s">
        <v>151</v>
      </c>
      <c r="C317" s="12" t="s">
        <v>1085</v>
      </c>
      <c r="D317" s="12" t="s">
        <v>1681</v>
      </c>
      <c r="E317" s="14">
        <v>100</v>
      </c>
      <c r="F317" s="23">
        <v>0.65</v>
      </c>
      <c r="G317" s="14">
        <v>0</v>
      </c>
      <c r="H317" s="25" t="s">
        <v>1615</v>
      </c>
      <c r="I317" s="12"/>
    </row>
    <row r="318" spans="1:9" x14ac:dyDescent="0.3">
      <c r="A318" s="11"/>
      <c r="B318" s="12" t="s">
        <v>151</v>
      </c>
      <c r="C318" s="12" t="s">
        <v>1086</v>
      </c>
      <c r="D318" s="12" t="s">
        <v>1744</v>
      </c>
      <c r="E318" s="14">
        <v>100</v>
      </c>
      <c r="F318" s="23">
        <v>0.49</v>
      </c>
      <c r="G318" s="14">
        <v>0</v>
      </c>
      <c r="H318" s="25" t="s">
        <v>1615</v>
      </c>
      <c r="I318" s="12"/>
    </row>
    <row r="319" spans="1:9" x14ac:dyDescent="0.3">
      <c r="A319" s="11"/>
      <c r="B319" s="12" t="s">
        <v>151</v>
      </c>
      <c r="C319" s="12" t="s">
        <v>1087</v>
      </c>
      <c r="D319" s="12" t="s">
        <v>1681</v>
      </c>
      <c r="E319" s="14">
        <v>100</v>
      </c>
      <c r="F319" s="23">
        <v>0.68</v>
      </c>
      <c r="G319" s="14">
        <v>0</v>
      </c>
      <c r="H319" s="25" t="s">
        <v>1615</v>
      </c>
      <c r="I319" s="12"/>
    </row>
    <row r="320" spans="1:9" x14ac:dyDescent="0.3">
      <c r="A320" s="11"/>
      <c r="B320" s="12" t="s">
        <v>151</v>
      </c>
      <c r="C320" s="12" t="s">
        <v>1088</v>
      </c>
      <c r="D320" s="12" t="s">
        <v>1681</v>
      </c>
      <c r="E320" s="14">
        <v>100</v>
      </c>
      <c r="F320" s="23">
        <v>0.56000000000000005</v>
      </c>
      <c r="G320" s="14">
        <v>0</v>
      </c>
      <c r="H320" s="25" t="s">
        <v>1615</v>
      </c>
      <c r="I320" s="12"/>
    </row>
    <row r="321" spans="1:9" x14ac:dyDescent="0.3">
      <c r="A321" s="11"/>
      <c r="B321" s="12" t="s">
        <v>151</v>
      </c>
      <c r="C321" s="12" t="s">
        <v>1089</v>
      </c>
      <c r="D321" s="12" t="s">
        <v>1745</v>
      </c>
      <c r="E321" s="14">
        <v>300</v>
      </c>
      <c r="F321" s="23">
        <v>0.6</v>
      </c>
      <c r="G321" s="14">
        <v>0</v>
      </c>
      <c r="H321" s="25" t="s">
        <v>1615</v>
      </c>
      <c r="I321" s="12"/>
    </row>
    <row r="322" spans="1:9" x14ac:dyDescent="0.3">
      <c r="A322" s="11"/>
      <c r="B322" s="12" t="s">
        <v>151</v>
      </c>
      <c r="C322" s="12" t="s">
        <v>1090</v>
      </c>
      <c r="D322" s="12" t="s">
        <v>1746</v>
      </c>
      <c r="E322" s="14">
        <v>100</v>
      </c>
      <c r="F322" s="23">
        <v>0.57999999999999996</v>
      </c>
      <c r="G322" s="14">
        <v>0</v>
      </c>
      <c r="H322" s="25" t="s">
        <v>1615</v>
      </c>
      <c r="I322" s="12"/>
    </row>
    <row r="323" spans="1:9" x14ac:dyDescent="0.3">
      <c r="A323" s="11"/>
      <c r="B323" s="12" t="s">
        <v>151</v>
      </c>
      <c r="C323" s="12" t="s">
        <v>1091</v>
      </c>
      <c r="D323" s="12" t="s">
        <v>1747</v>
      </c>
      <c r="E323" s="14">
        <v>75</v>
      </c>
      <c r="F323" s="23">
        <v>0.48</v>
      </c>
      <c r="G323" s="14">
        <v>0</v>
      </c>
      <c r="H323" s="25" t="s">
        <v>1615</v>
      </c>
      <c r="I323" s="12"/>
    </row>
    <row r="324" spans="1:9" x14ac:dyDescent="0.3">
      <c r="A324" s="11"/>
      <c r="B324" s="12" t="s">
        <v>151</v>
      </c>
      <c r="C324" s="12" t="s">
        <v>1092</v>
      </c>
      <c r="D324" s="12" t="s">
        <v>1681</v>
      </c>
      <c r="E324" s="14">
        <v>250</v>
      </c>
      <c r="F324" s="23">
        <v>0.55000000000000004</v>
      </c>
      <c r="G324" s="14">
        <v>0</v>
      </c>
      <c r="H324" s="25" t="s">
        <v>1615</v>
      </c>
      <c r="I324" s="12"/>
    </row>
    <row r="325" spans="1:9" x14ac:dyDescent="0.3">
      <c r="A325" s="11"/>
      <c r="B325" s="12" t="s">
        <v>151</v>
      </c>
      <c r="C325" s="12" t="s">
        <v>1093</v>
      </c>
      <c r="D325" s="12" t="s">
        <v>1681</v>
      </c>
      <c r="E325" s="14">
        <v>250</v>
      </c>
      <c r="F325" s="23">
        <v>0.71</v>
      </c>
      <c r="G325" s="14">
        <v>24.19</v>
      </c>
      <c r="H325" s="25" t="s">
        <v>1615</v>
      </c>
      <c r="I325" s="12"/>
    </row>
    <row r="326" spans="1:9" x14ac:dyDescent="0.3">
      <c r="A326" s="11"/>
      <c r="B326" s="12" t="s">
        <v>151</v>
      </c>
      <c r="C326" s="12" t="s">
        <v>1094</v>
      </c>
      <c r="D326" s="12" t="s">
        <v>1681</v>
      </c>
      <c r="E326" s="14">
        <v>160</v>
      </c>
      <c r="F326" s="23">
        <v>0.56000000000000005</v>
      </c>
      <c r="G326" s="14">
        <v>0</v>
      </c>
      <c r="H326" s="25" t="s">
        <v>1615</v>
      </c>
      <c r="I326" s="12"/>
    </row>
    <row r="327" spans="1:9" x14ac:dyDescent="0.3">
      <c r="A327" s="11"/>
      <c r="B327" s="12" t="s">
        <v>151</v>
      </c>
      <c r="C327" s="12" t="s">
        <v>1095</v>
      </c>
      <c r="D327" s="12" t="s">
        <v>1681</v>
      </c>
      <c r="E327" s="14">
        <v>250</v>
      </c>
      <c r="F327" s="23">
        <v>0.62</v>
      </c>
      <c r="G327" s="14">
        <v>0</v>
      </c>
      <c r="H327" s="25" t="s">
        <v>1615</v>
      </c>
      <c r="I327" s="12"/>
    </row>
    <row r="328" spans="1:9" x14ac:dyDescent="0.3">
      <c r="A328" s="11"/>
      <c r="B328" s="12" t="s">
        <v>151</v>
      </c>
      <c r="C328" s="12" t="s">
        <v>1096</v>
      </c>
      <c r="D328" s="12" t="s">
        <v>1681</v>
      </c>
      <c r="E328" s="14">
        <v>100</v>
      </c>
      <c r="F328" s="23">
        <v>0.75</v>
      </c>
      <c r="G328" s="14">
        <v>0</v>
      </c>
      <c r="H328" s="25" t="s">
        <v>1615</v>
      </c>
      <c r="I328" s="12"/>
    </row>
    <row r="329" spans="1:9" x14ac:dyDescent="0.3">
      <c r="A329" s="11"/>
      <c r="B329" s="12" t="s">
        <v>151</v>
      </c>
      <c r="C329" s="12" t="s">
        <v>1097</v>
      </c>
      <c r="D329" s="12" t="s">
        <v>1748</v>
      </c>
      <c r="E329" s="14">
        <v>100</v>
      </c>
      <c r="F329" s="23">
        <v>0.48</v>
      </c>
      <c r="G329" s="14">
        <v>0</v>
      </c>
      <c r="H329" s="25" t="s">
        <v>1615</v>
      </c>
      <c r="I329" s="12"/>
    </row>
    <row r="330" spans="1:9" x14ac:dyDescent="0.3">
      <c r="A330" s="11"/>
      <c r="B330" s="12" t="s">
        <v>156</v>
      </c>
      <c r="C330" s="12" t="s">
        <v>1098</v>
      </c>
      <c r="D330" s="12" t="s">
        <v>1694</v>
      </c>
      <c r="E330" s="14">
        <v>300</v>
      </c>
      <c r="F330" s="23">
        <v>0.57999999999999996</v>
      </c>
      <c r="G330" s="14">
        <v>0</v>
      </c>
      <c r="H330" s="25" t="s">
        <v>1615</v>
      </c>
      <c r="I330" s="12"/>
    </row>
    <row r="331" spans="1:9" x14ac:dyDescent="0.3">
      <c r="A331" s="11"/>
      <c r="B331" s="12" t="s">
        <v>153</v>
      </c>
      <c r="C331" s="12" t="s">
        <v>1099</v>
      </c>
      <c r="D331" s="12" t="s">
        <v>1749</v>
      </c>
      <c r="E331" s="14">
        <v>300</v>
      </c>
      <c r="F331" s="23">
        <v>0.52</v>
      </c>
      <c r="G331" s="14">
        <v>5.92</v>
      </c>
      <c r="H331" s="25" t="s">
        <v>1615</v>
      </c>
      <c r="I331" s="12"/>
    </row>
    <row r="332" spans="1:9" x14ac:dyDescent="0.3">
      <c r="A332" s="11"/>
      <c r="B332" s="12" t="s">
        <v>156</v>
      </c>
      <c r="C332" s="12" t="s">
        <v>1100</v>
      </c>
      <c r="D332" s="12" t="s">
        <v>1699</v>
      </c>
      <c r="E332" s="14">
        <v>112.5</v>
      </c>
      <c r="F332" s="23">
        <v>0.74</v>
      </c>
      <c r="G332" s="14">
        <v>0</v>
      </c>
      <c r="H332" s="25" t="s">
        <v>1615</v>
      </c>
      <c r="I332" s="12"/>
    </row>
    <row r="333" spans="1:9" x14ac:dyDescent="0.3">
      <c r="A333" s="11"/>
      <c r="B333" s="12" t="s">
        <v>153</v>
      </c>
      <c r="C333" s="12" t="s">
        <v>1101</v>
      </c>
      <c r="D333" s="12" t="s">
        <v>1750</v>
      </c>
      <c r="E333" s="14">
        <v>250</v>
      </c>
      <c r="F333" s="23">
        <v>0.5</v>
      </c>
      <c r="G333" s="14">
        <v>0</v>
      </c>
      <c r="H333" s="25" t="s">
        <v>1615</v>
      </c>
      <c r="I333" s="12"/>
    </row>
    <row r="334" spans="1:9" x14ac:dyDescent="0.3">
      <c r="A334" s="11"/>
      <c r="B334" s="12" t="s">
        <v>154</v>
      </c>
      <c r="C334" s="12" t="s">
        <v>1102</v>
      </c>
      <c r="D334" s="12" t="s">
        <v>1751</v>
      </c>
      <c r="E334" s="14">
        <v>100</v>
      </c>
      <c r="F334" s="23">
        <v>0.53</v>
      </c>
      <c r="G334" s="14">
        <v>0</v>
      </c>
      <c r="H334" s="25" t="s">
        <v>1615</v>
      </c>
      <c r="I334" s="12"/>
    </row>
    <row r="335" spans="1:9" x14ac:dyDescent="0.3">
      <c r="A335" s="11"/>
      <c r="B335" s="12" t="s">
        <v>154</v>
      </c>
      <c r="C335" s="12" t="s">
        <v>1103</v>
      </c>
      <c r="D335" s="12" t="s">
        <v>1751</v>
      </c>
      <c r="E335" s="14">
        <v>25</v>
      </c>
      <c r="F335" s="23">
        <v>0.67</v>
      </c>
      <c r="G335" s="14">
        <v>0</v>
      </c>
      <c r="H335" s="25" t="s">
        <v>1615</v>
      </c>
      <c r="I335" s="12"/>
    </row>
    <row r="336" spans="1:9" x14ac:dyDescent="0.3">
      <c r="A336" s="11"/>
      <c r="B336" s="12" t="s">
        <v>154</v>
      </c>
      <c r="C336" s="12" t="s">
        <v>1104</v>
      </c>
      <c r="D336" s="12" t="s">
        <v>1752</v>
      </c>
      <c r="E336" s="14">
        <v>75</v>
      </c>
      <c r="F336" s="23">
        <v>0.61</v>
      </c>
      <c r="G336" s="14">
        <v>0</v>
      </c>
      <c r="H336" s="25" t="s">
        <v>1615</v>
      </c>
      <c r="I336" s="12"/>
    </row>
    <row r="337" spans="1:9" x14ac:dyDescent="0.3">
      <c r="A337" s="11"/>
      <c r="B337" s="12" t="s">
        <v>151</v>
      </c>
      <c r="C337" s="12" t="s">
        <v>1105</v>
      </c>
      <c r="D337" s="12" t="s">
        <v>1753</v>
      </c>
      <c r="E337" s="14">
        <v>250</v>
      </c>
      <c r="F337" s="23">
        <v>0.54</v>
      </c>
      <c r="G337" s="14">
        <v>0</v>
      </c>
      <c r="H337" s="25" t="s">
        <v>1615</v>
      </c>
      <c r="I337" s="12"/>
    </row>
    <row r="338" spans="1:9" x14ac:dyDescent="0.3">
      <c r="A338" s="11"/>
      <c r="B338" s="12" t="s">
        <v>151</v>
      </c>
      <c r="C338" s="12" t="s">
        <v>1106</v>
      </c>
      <c r="D338" s="12" t="s">
        <v>1754</v>
      </c>
      <c r="E338" s="14">
        <v>300</v>
      </c>
      <c r="F338" s="23">
        <v>0.71</v>
      </c>
      <c r="G338" s="14">
        <v>52.8</v>
      </c>
      <c r="H338" s="25" t="s">
        <v>1615</v>
      </c>
      <c r="I338" s="12"/>
    </row>
    <row r="339" spans="1:9" x14ac:dyDescent="0.3">
      <c r="A339" s="11"/>
      <c r="B339" s="12" t="s">
        <v>151</v>
      </c>
      <c r="C339" s="12" t="s">
        <v>1107</v>
      </c>
      <c r="D339" s="12" t="s">
        <v>1754</v>
      </c>
      <c r="E339" s="14">
        <v>150</v>
      </c>
      <c r="F339" s="23">
        <v>0.66</v>
      </c>
      <c r="G339" s="14">
        <v>0</v>
      </c>
      <c r="H339" s="25" t="s">
        <v>1615</v>
      </c>
      <c r="I339" s="12"/>
    </row>
    <row r="340" spans="1:9" x14ac:dyDescent="0.3">
      <c r="A340" s="11"/>
      <c r="B340" s="12" t="s">
        <v>151</v>
      </c>
      <c r="C340" s="12" t="s">
        <v>1108</v>
      </c>
      <c r="D340" s="12" t="s">
        <v>1755</v>
      </c>
      <c r="E340" s="14">
        <v>300</v>
      </c>
      <c r="F340" s="23">
        <v>0.67</v>
      </c>
      <c r="G340" s="14">
        <v>0</v>
      </c>
      <c r="H340" s="25" t="s">
        <v>1615</v>
      </c>
      <c r="I340" s="12"/>
    </row>
    <row r="341" spans="1:9" x14ac:dyDescent="0.3">
      <c r="A341" s="11"/>
      <c r="B341" s="12" t="s">
        <v>151</v>
      </c>
      <c r="C341" s="12" t="s">
        <v>1109</v>
      </c>
      <c r="D341" s="12" t="s">
        <v>1756</v>
      </c>
      <c r="E341" s="14">
        <v>150</v>
      </c>
      <c r="F341" s="23">
        <v>0.72</v>
      </c>
      <c r="G341" s="14">
        <v>0</v>
      </c>
      <c r="H341" s="25" t="s">
        <v>1615</v>
      </c>
      <c r="I341" s="12"/>
    </row>
    <row r="342" spans="1:9" x14ac:dyDescent="0.3">
      <c r="A342" s="11"/>
      <c r="B342" s="12" t="s">
        <v>151</v>
      </c>
      <c r="C342" s="12" t="s">
        <v>1110</v>
      </c>
      <c r="D342" s="12" t="s">
        <v>1754</v>
      </c>
      <c r="E342" s="14">
        <v>225</v>
      </c>
      <c r="F342" s="23">
        <v>0.73</v>
      </c>
      <c r="G342" s="14">
        <v>62.915000000000006</v>
      </c>
      <c r="H342" s="25" t="s">
        <v>1615</v>
      </c>
      <c r="I342" s="12"/>
    </row>
    <row r="343" spans="1:9" x14ac:dyDescent="0.3">
      <c r="A343" s="11"/>
      <c r="B343" s="12" t="s">
        <v>151</v>
      </c>
      <c r="C343" s="12" t="s">
        <v>1111</v>
      </c>
      <c r="D343" s="12" t="s">
        <v>1754</v>
      </c>
      <c r="E343" s="14">
        <v>250</v>
      </c>
      <c r="F343" s="23">
        <v>0.59</v>
      </c>
      <c r="G343" s="14">
        <v>18.899999999999999</v>
      </c>
      <c r="H343" s="25" t="s">
        <v>1615</v>
      </c>
      <c r="I343" s="12"/>
    </row>
    <row r="344" spans="1:9" x14ac:dyDescent="0.3">
      <c r="A344" s="11"/>
      <c r="B344" s="12" t="s">
        <v>156</v>
      </c>
      <c r="C344" s="12" t="s">
        <v>1112</v>
      </c>
      <c r="D344" s="12" t="s">
        <v>1757</v>
      </c>
      <c r="E344" s="14">
        <v>225</v>
      </c>
      <c r="F344" s="23">
        <v>0.6</v>
      </c>
      <c r="G344" s="14">
        <v>0</v>
      </c>
      <c r="H344" s="25" t="s">
        <v>1615</v>
      </c>
      <c r="I344" s="12"/>
    </row>
    <row r="345" spans="1:9" x14ac:dyDescent="0.3">
      <c r="A345" s="11"/>
      <c r="B345" s="12" t="s">
        <v>156</v>
      </c>
      <c r="C345" s="12" t="s">
        <v>1113</v>
      </c>
      <c r="D345" s="12" t="s">
        <v>1738</v>
      </c>
      <c r="E345" s="14">
        <v>75</v>
      </c>
      <c r="F345" s="23">
        <v>0.68</v>
      </c>
      <c r="G345" s="14">
        <v>7</v>
      </c>
      <c r="H345" s="25" t="s">
        <v>1615</v>
      </c>
      <c r="I345" s="12"/>
    </row>
    <row r="346" spans="1:9" x14ac:dyDescent="0.3">
      <c r="A346" s="11"/>
      <c r="B346" s="12" t="s">
        <v>156</v>
      </c>
      <c r="C346" s="12" t="s">
        <v>1114</v>
      </c>
      <c r="D346" s="12" t="s">
        <v>1738</v>
      </c>
      <c r="E346" s="14">
        <v>75</v>
      </c>
      <c r="F346" s="23">
        <v>0.51</v>
      </c>
      <c r="G346" s="14">
        <v>0</v>
      </c>
      <c r="H346" s="25" t="s">
        <v>1615</v>
      </c>
      <c r="I346" s="12"/>
    </row>
    <row r="347" spans="1:9" x14ac:dyDescent="0.3">
      <c r="A347" s="11"/>
      <c r="B347" s="12" t="s">
        <v>156</v>
      </c>
      <c r="C347" s="12" t="s">
        <v>1115</v>
      </c>
      <c r="D347" s="12" t="s">
        <v>1738</v>
      </c>
      <c r="E347" s="14">
        <v>100</v>
      </c>
      <c r="F347" s="23">
        <v>0.52</v>
      </c>
      <c r="G347" s="14">
        <v>0</v>
      </c>
      <c r="H347" s="25" t="s">
        <v>1615</v>
      </c>
      <c r="I347" s="12"/>
    </row>
    <row r="348" spans="1:9" x14ac:dyDescent="0.3">
      <c r="A348" s="11"/>
      <c r="B348" s="12" t="s">
        <v>156</v>
      </c>
      <c r="C348" s="12" t="s">
        <v>1116</v>
      </c>
      <c r="D348" s="12" t="s">
        <v>1758</v>
      </c>
      <c r="E348" s="14">
        <v>250</v>
      </c>
      <c r="F348" s="23">
        <v>0.75</v>
      </c>
      <c r="G348" s="14">
        <v>0</v>
      </c>
      <c r="H348" s="25" t="s">
        <v>1615</v>
      </c>
      <c r="I348" s="12"/>
    </row>
    <row r="349" spans="1:9" x14ac:dyDescent="0.3">
      <c r="A349" s="11"/>
      <c r="B349" s="12" t="s">
        <v>156</v>
      </c>
      <c r="C349" s="12" t="s">
        <v>1117</v>
      </c>
      <c r="D349" s="12" t="s">
        <v>1758</v>
      </c>
      <c r="E349" s="14">
        <v>225</v>
      </c>
      <c r="F349" s="23">
        <v>0.68</v>
      </c>
      <c r="G349" s="14">
        <v>5.34</v>
      </c>
      <c r="H349" s="25" t="s">
        <v>1615</v>
      </c>
      <c r="I349" s="12"/>
    </row>
    <row r="350" spans="1:9" x14ac:dyDescent="0.3">
      <c r="A350" s="11"/>
      <c r="B350" s="12" t="s">
        <v>156</v>
      </c>
      <c r="C350" s="12" t="s">
        <v>1118</v>
      </c>
      <c r="D350" s="12" t="s">
        <v>1759</v>
      </c>
      <c r="E350" s="14">
        <v>50</v>
      </c>
      <c r="F350" s="23">
        <v>0.65</v>
      </c>
      <c r="G350" s="14">
        <v>0</v>
      </c>
      <c r="H350" s="25" t="s">
        <v>1615</v>
      </c>
      <c r="I350" s="12"/>
    </row>
    <row r="351" spans="1:9" x14ac:dyDescent="0.3">
      <c r="A351" s="11"/>
      <c r="B351" s="12" t="s">
        <v>153</v>
      </c>
      <c r="C351" s="12" t="s">
        <v>1119</v>
      </c>
      <c r="D351" s="12" t="s">
        <v>1760</v>
      </c>
      <c r="E351" s="14">
        <v>100</v>
      </c>
      <c r="F351" s="23">
        <v>0.6</v>
      </c>
      <c r="G351" s="14">
        <v>0</v>
      </c>
      <c r="H351" s="25" t="s">
        <v>1615</v>
      </c>
      <c r="I351" s="12"/>
    </row>
    <row r="352" spans="1:9" x14ac:dyDescent="0.3">
      <c r="A352" s="11"/>
      <c r="B352" s="12" t="s">
        <v>153</v>
      </c>
      <c r="C352" s="12" t="s">
        <v>1120</v>
      </c>
      <c r="D352" s="12" t="s">
        <v>1761</v>
      </c>
      <c r="E352" s="14">
        <v>50</v>
      </c>
      <c r="F352" s="23">
        <v>0.55000000000000004</v>
      </c>
      <c r="G352" s="14">
        <v>0</v>
      </c>
      <c r="H352" s="25" t="s">
        <v>1615</v>
      </c>
      <c r="I352" s="12"/>
    </row>
    <row r="353" spans="1:9" x14ac:dyDescent="0.3">
      <c r="A353" s="11"/>
      <c r="B353" s="12" t="s">
        <v>153</v>
      </c>
      <c r="C353" s="12" t="s">
        <v>1121</v>
      </c>
      <c r="D353" s="12" t="s">
        <v>1616</v>
      </c>
      <c r="E353" s="14">
        <v>150</v>
      </c>
      <c r="F353" s="23">
        <v>0.53</v>
      </c>
      <c r="G353" s="14">
        <v>0</v>
      </c>
      <c r="H353" s="25" t="s">
        <v>1615</v>
      </c>
      <c r="I353" s="12"/>
    </row>
    <row r="354" spans="1:9" x14ac:dyDescent="0.3">
      <c r="A354" s="11"/>
      <c r="B354" s="12" t="s">
        <v>153</v>
      </c>
      <c r="C354" s="12" t="s">
        <v>1122</v>
      </c>
      <c r="D354" s="12" t="s">
        <v>1616</v>
      </c>
      <c r="E354" s="14">
        <v>150</v>
      </c>
      <c r="F354" s="23">
        <v>0.65</v>
      </c>
      <c r="G354" s="14">
        <v>0</v>
      </c>
      <c r="H354" s="25" t="s">
        <v>1615</v>
      </c>
      <c r="I354" s="12"/>
    </row>
    <row r="355" spans="1:9" x14ac:dyDescent="0.3">
      <c r="A355" s="11"/>
      <c r="B355" s="12" t="s">
        <v>156</v>
      </c>
      <c r="C355" s="12" t="s">
        <v>1123</v>
      </c>
      <c r="D355" s="12" t="s">
        <v>1724</v>
      </c>
      <c r="E355" s="14">
        <v>225</v>
      </c>
      <c r="F355" s="23">
        <v>0.53</v>
      </c>
      <c r="G355" s="14">
        <v>5.34</v>
      </c>
      <c r="H355" s="25" t="s">
        <v>1615</v>
      </c>
      <c r="I355" s="12"/>
    </row>
    <row r="356" spans="1:9" x14ac:dyDescent="0.3">
      <c r="A356" s="11"/>
      <c r="B356" s="12" t="s">
        <v>156</v>
      </c>
      <c r="C356" s="12" t="s">
        <v>1124</v>
      </c>
      <c r="D356" s="12" t="s">
        <v>1762</v>
      </c>
      <c r="E356" s="14">
        <v>150</v>
      </c>
      <c r="F356" s="23">
        <v>0.56000000000000005</v>
      </c>
      <c r="G356" s="14">
        <v>0</v>
      </c>
      <c r="H356" s="25" t="s">
        <v>1615</v>
      </c>
      <c r="I356" s="12"/>
    </row>
    <row r="357" spans="1:9" x14ac:dyDescent="0.3">
      <c r="A357" s="11"/>
      <c r="B357" s="12" t="s">
        <v>156</v>
      </c>
      <c r="C357" s="12" t="s">
        <v>1125</v>
      </c>
      <c r="D357" s="12" t="s">
        <v>1763</v>
      </c>
      <c r="E357" s="14">
        <v>100</v>
      </c>
      <c r="F357" s="23">
        <v>0.45</v>
      </c>
      <c r="G357" s="14">
        <v>0</v>
      </c>
      <c r="H357" s="25" t="s">
        <v>1615</v>
      </c>
      <c r="I357" s="12"/>
    </row>
    <row r="358" spans="1:9" x14ac:dyDescent="0.3">
      <c r="A358" s="11"/>
      <c r="B358" s="12" t="s">
        <v>154</v>
      </c>
      <c r="C358" s="12" t="s">
        <v>1126</v>
      </c>
      <c r="D358" s="12" t="s">
        <v>1644</v>
      </c>
      <c r="E358" s="14">
        <v>100</v>
      </c>
      <c r="F358" s="23">
        <v>0.68</v>
      </c>
      <c r="G358" s="14">
        <v>0</v>
      </c>
      <c r="H358" s="25" t="s">
        <v>1615</v>
      </c>
      <c r="I358" s="12"/>
    </row>
    <row r="359" spans="1:9" x14ac:dyDescent="0.3">
      <c r="A359" s="11"/>
      <c r="B359" s="12" t="s">
        <v>154</v>
      </c>
      <c r="C359" s="12" t="s">
        <v>1127</v>
      </c>
      <c r="D359" s="12" t="s">
        <v>1764</v>
      </c>
      <c r="E359" s="14">
        <v>100</v>
      </c>
      <c r="F359" s="23">
        <v>0.73</v>
      </c>
      <c r="G359" s="14">
        <v>0</v>
      </c>
      <c r="H359" s="25" t="s">
        <v>1615</v>
      </c>
      <c r="I359" s="12"/>
    </row>
    <row r="360" spans="1:9" x14ac:dyDescent="0.3">
      <c r="A360" s="11"/>
      <c r="B360" s="12" t="s">
        <v>154</v>
      </c>
      <c r="C360" s="12" t="s">
        <v>1128</v>
      </c>
      <c r="D360" s="12" t="s">
        <v>1672</v>
      </c>
      <c r="E360" s="14">
        <v>75</v>
      </c>
      <c r="F360" s="23">
        <v>0.74</v>
      </c>
      <c r="G360" s="14">
        <v>0</v>
      </c>
      <c r="H360" s="25" t="s">
        <v>1615</v>
      </c>
      <c r="I360" s="12"/>
    </row>
    <row r="361" spans="1:9" x14ac:dyDescent="0.3">
      <c r="A361" s="11"/>
      <c r="B361" s="12" t="s">
        <v>156</v>
      </c>
      <c r="C361" s="12" t="s">
        <v>1129</v>
      </c>
      <c r="D361" s="12" t="s">
        <v>1694</v>
      </c>
      <c r="E361" s="14">
        <v>320</v>
      </c>
      <c r="F361" s="23">
        <v>0.5</v>
      </c>
      <c r="G361" s="14">
        <v>0</v>
      </c>
      <c r="H361" s="25" t="s">
        <v>1615</v>
      </c>
      <c r="I361" s="12"/>
    </row>
    <row r="362" spans="1:9" x14ac:dyDescent="0.3">
      <c r="A362" s="11"/>
      <c r="B362" s="12" t="s">
        <v>156</v>
      </c>
      <c r="C362" s="12" t="s">
        <v>1130</v>
      </c>
      <c r="D362" s="12" t="s">
        <v>1765</v>
      </c>
      <c r="E362" s="14">
        <v>320</v>
      </c>
      <c r="F362" s="23">
        <v>0.67</v>
      </c>
      <c r="G362" s="14">
        <v>0</v>
      </c>
      <c r="H362" s="25" t="s">
        <v>1615</v>
      </c>
      <c r="I362" s="12"/>
    </row>
    <row r="363" spans="1:9" x14ac:dyDescent="0.3">
      <c r="A363" s="11"/>
      <c r="B363" s="12" t="s">
        <v>156</v>
      </c>
      <c r="C363" s="12" t="s">
        <v>1131</v>
      </c>
      <c r="D363" s="12" t="s">
        <v>1766</v>
      </c>
      <c r="E363" s="14">
        <v>320</v>
      </c>
      <c r="F363" s="23">
        <v>0.52</v>
      </c>
      <c r="G363" s="14">
        <v>5.72</v>
      </c>
      <c r="H363" s="25" t="s">
        <v>1615</v>
      </c>
      <c r="I363" s="12"/>
    </row>
    <row r="364" spans="1:9" x14ac:dyDescent="0.3">
      <c r="A364" s="11"/>
      <c r="B364" s="12" t="s">
        <v>156</v>
      </c>
      <c r="C364" s="12" t="s">
        <v>1132</v>
      </c>
      <c r="D364" s="12" t="s">
        <v>1699</v>
      </c>
      <c r="E364" s="14">
        <v>250</v>
      </c>
      <c r="F364" s="23">
        <v>0.62</v>
      </c>
      <c r="G364" s="14">
        <v>0</v>
      </c>
      <c r="H364" s="25" t="s">
        <v>1615</v>
      </c>
      <c r="I364" s="12"/>
    </row>
    <row r="365" spans="1:9" x14ac:dyDescent="0.3">
      <c r="A365" s="11"/>
      <c r="B365" s="12" t="s">
        <v>156</v>
      </c>
      <c r="C365" s="12" t="s">
        <v>1133</v>
      </c>
      <c r="D365" s="12" t="s">
        <v>1694</v>
      </c>
      <c r="E365" s="14">
        <v>250</v>
      </c>
      <c r="F365" s="23">
        <v>0.49</v>
      </c>
      <c r="G365" s="14">
        <v>0</v>
      </c>
      <c r="H365" s="25" t="s">
        <v>1615</v>
      </c>
      <c r="I365" s="12"/>
    </row>
    <row r="366" spans="1:9" x14ac:dyDescent="0.3">
      <c r="A366" s="11"/>
      <c r="B366" s="12" t="s">
        <v>156</v>
      </c>
      <c r="C366" s="12" t="s">
        <v>1134</v>
      </c>
      <c r="D366" s="12" t="s">
        <v>1694</v>
      </c>
      <c r="E366" s="14">
        <v>250</v>
      </c>
      <c r="F366" s="23">
        <v>0.71</v>
      </c>
      <c r="G366" s="14">
        <v>0</v>
      </c>
      <c r="H366" s="25" t="s">
        <v>1615</v>
      </c>
      <c r="I366" s="12"/>
    </row>
    <row r="367" spans="1:9" x14ac:dyDescent="0.3">
      <c r="A367" s="11"/>
      <c r="B367" s="12" t="s">
        <v>153</v>
      </c>
      <c r="C367" s="12" t="s">
        <v>1135</v>
      </c>
      <c r="D367" s="12" t="s">
        <v>1767</v>
      </c>
      <c r="E367" s="14">
        <v>200</v>
      </c>
      <c r="F367" s="23">
        <v>0.55000000000000004</v>
      </c>
      <c r="G367" s="14">
        <v>0</v>
      </c>
      <c r="H367" s="25" t="s">
        <v>1615</v>
      </c>
      <c r="I367" s="12"/>
    </row>
    <row r="368" spans="1:9" x14ac:dyDescent="0.3">
      <c r="A368" s="11"/>
      <c r="B368" s="12" t="s">
        <v>153</v>
      </c>
      <c r="C368" s="12" t="s">
        <v>1136</v>
      </c>
      <c r="D368" s="12" t="s">
        <v>1730</v>
      </c>
      <c r="E368" s="14">
        <v>50</v>
      </c>
      <c r="F368" s="23">
        <v>0.69</v>
      </c>
      <c r="G368" s="14">
        <v>0</v>
      </c>
      <c r="H368" s="25" t="s">
        <v>1615</v>
      </c>
      <c r="I368" s="12"/>
    </row>
    <row r="369" spans="1:9" x14ac:dyDescent="0.3">
      <c r="A369" s="11"/>
      <c r="B369" s="12" t="s">
        <v>153</v>
      </c>
      <c r="C369" s="12" t="s">
        <v>1137</v>
      </c>
      <c r="D369" s="12" t="s">
        <v>1730</v>
      </c>
      <c r="E369" s="14">
        <v>50</v>
      </c>
      <c r="F369" s="23">
        <v>0.63</v>
      </c>
      <c r="G369" s="14">
        <v>0</v>
      </c>
      <c r="H369" s="25" t="s">
        <v>1615</v>
      </c>
      <c r="I369" s="12"/>
    </row>
    <row r="370" spans="1:9" x14ac:dyDescent="0.3">
      <c r="A370" s="11"/>
      <c r="B370" s="12" t="s">
        <v>154</v>
      </c>
      <c r="C370" s="12" t="s">
        <v>1138</v>
      </c>
      <c r="D370" s="12" t="s">
        <v>1768</v>
      </c>
      <c r="E370" s="14">
        <v>250</v>
      </c>
      <c r="F370" s="23">
        <v>0.6</v>
      </c>
      <c r="G370" s="14">
        <v>0</v>
      </c>
      <c r="H370" s="25" t="s">
        <v>1615</v>
      </c>
      <c r="I370" s="12"/>
    </row>
    <row r="371" spans="1:9" x14ac:dyDescent="0.3">
      <c r="A371" s="11"/>
      <c r="B371" s="12" t="s">
        <v>154</v>
      </c>
      <c r="C371" s="12" t="s">
        <v>1139</v>
      </c>
      <c r="D371" s="12" t="s">
        <v>1764</v>
      </c>
      <c r="E371" s="14">
        <v>75</v>
      </c>
      <c r="F371" s="23">
        <v>0.67</v>
      </c>
      <c r="G371" s="14">
        <v>0</v>
      </c>
      <c r="H371" s="25" t="s">
        <v>1615</v>
      </c>
      <c r="I371" s="12"/>
    </row>
    <row r="372" spans="1:9" x14ac:dyDescent="0.3">
      <c r="A372" s="11"/>
      <c r="B372" s="12" t="s">
        <v>154</v>
      </c>
      <c r="C372" s="12" t="s">
        <v>1140</v>
      </c>
      <c r="D372" s="12" t="s">
        <v>1764</v>
      </c>
      <c r="E372" s="14">
        <v>150</v>
      </c>
      <c r="F372" s="23">
        <v>0.64</v>
      </c>
      <c r="G372" s="14">
        <v>0</v>
      </c>
      <c r="H372" s="25" t="s">
        <v>1615</v>
      </c>
      <c r="I372" s="12"/>
    </row>
    <row r="373" spans="1:9" x14ac:dyDescent="0.3">
      <c r="A373" s="11"/>
      <c r="B373" s="12" t="s">
        <v>154</v>
      </c>
      <c r="C373" s="12" t="s">
        <v>1141</v>
      </c>
      <c r="D373" s="12" t="s">
        <v>1769</v>
      </c>
      <c r="E373" s="14">
        <v>200</v>
      </c>
      <c r="F373" s="23">
        <v>0.69</v>
      </c>
      <c r="G373" s="14">
        <v>0</v>
      </c>
      <c r="H373" s="25" t="s">
        <v>1615</v>
      </c>
      <c r="I373" s="12"/>
    </row>
    <row r="374" spans="1:9" x14ac:dyDescent="0.3">
      <c r="A374" s="11"/>
      <c r="B374" s="12" t="s">
        <v>154</v>
      </c>
      <c r="C374" s="12" t="s">
        <v>1142</v>
      </c>
      <c r="D374" s="12" t="s">
        <v>1764</v>
      </c>
      <c r="E374" s="14">
        <v>150</v>
      </c>
      <c r="F374" s="23">
        <v>0.75</v>
      </c>
      <c r="G374" s="14">
        <v>0</v>
      </c>
      <c r="H374" s="25" t="s">
        <v>1615</v>
      </c>
      <c r="I374" s="12"/>
    </row>
    <row r="375" spans="1:9" x14ac:dyDescent="0.3">
      <c r="A375" s="11"/>
      <c r="B375" s="12" t="s">
        <v>154</v>
      </c>
      <c r="C375" s="12" t="s">
        <v>1143</v>
      </c>
      <c r="D375" s="12" t="s">
        <v>1764</v>
      </c>
      <c r="E375" s="14">
        <v>75</v>
      </c>
      <c r="F375" s="23">
        <v>0.55000000000000004</v>
      </c>
      <c r="G375" s="14">
        <v>0</v>
      </c>
      <c r="H375" s="25" t="s">
        <v>1615</v>
      </c>
      <c r="I375" s="12"/>
    </row>
    <row r="376" spans="1:9" x14ac:dyDescent="0.3">
      <c r="A376" s="11"/>
      <c r="B376" s="12" t="s">
        <v>154</v>
      </c>
      <c r="C376" s="12" t="s">
        <v>1144</v>
      </c>
      <c r="D376" s="12" t="s">
        <v>1764</v>
      </c>
      <c r="E376" s="14">
        <v>100</v>
      </c>
      <c r="F376" s="23">
        <v>0.68</v>
      </c>
      <c r="G376" s="14">
        <v>0</v>
      </c>
      <c r="H376" s="25" t="s">
        <v>1615</v>
      </c>
      <c r="I376" s="12"/>
    </row>
    <row r="377" spans="1:9" x14ac:dyDescent="0.3">
      <c r="A377" s="11"/>
      <c r="B377" s="12" t="s">
        <v>156</v>
      </c>
      <c r="C377" s="12" t="s">
        <v>1145</v>
      </c>
      <c r="D377" s="12" t="s">
        <v>1617</v>
      </c>
      <c r="E377" s="14">
        <v>225</v>
      </c>
      <c r="F377" s="23">
        <v>0.75</v>
      </c>
      <c r="G377" s="14">
        <v>8.69</v>
      </c>
      <c r="H377" s="25" t="s">
        <v>1615</v>
      </c>
      <c r="I377" s="12"/>
    </row>
    <row r="378" spans="1:9" x14ac:dyDescent="0.3">
      <c r="A378" s="11"/>
      <c r="B378" s="12" t="s">
        <v>156</v>
      </c>
      <c r="C378" s="12" t="s">
        <v>1146</v>
      </c>
      <c r="D378" s="12" t="s">
        <v>1696</v>
      </c>
      <c r="E378" s="14">
        <v>300</v>
      </c>
      <c r="F378" s="23">
        <v>0.75</v>
      </c>
      <c r="G378" s="14">
        <v>15.13</v>
      </c>
      <c r="H378" s="25" t="s">
        <v>1615</v>
      </c>
      <c r="I378" s="12"/>
    </row>
    <row r="379" spans="1:9" x14ac:dyDescent="0.3">
      <c r="A379" s="11"/>
      <c r="B379" s="12" t="s">
        <v>156</v>
      </c>
      <c r="C379" s="12" t="s">
        <v>1147</v>
      </c>
      <c r="D379" s="12" t="s">
        <v>1696</v>
      </c>
      <c r="E379" s="14">
        <v>75</v>
      </c>
      <c r="F379" s="23">
        <v>0.56000000000000005</v>
      </c>
      <c r="G379" s="14">
        <v>0</v>
      </c>
      <c r="H379" s="25" t="s">
        <v>1615</v>
      </c>
      <c r="I379" s="12"/>
    </row>
    <row r="380" spans="1:9" x14ac:dyDescent="0.3">
      <c r="A380" s="11"/>
      <c r="B380" s="12" t="s">
        <v>156</v>
      </c>
      <c r="C380" s="12" t="s">
        <v>1148</v>
      </c>
      <c r="D380" s="12" t="s">
        <v>1696</v>
      </c>
      <c r="E380" s="14">
        <v>225</v>
      </c>
      <c r="F380" s="23">
        <v>0.54</v>
      </c>
      <c r="G380" s="14">
        <v>0</v>
      </c>
      <c r="H380" s="25" t="s">
        <v>1615</v>
      </c>
      <c r="I380" s="12"/>
    </row>
    <row r="381" spans="1:9" x14ac:dyDescent="0.3">
      <c r="A381" s="11"/>
      <c r="B381" s="12" t="s">
        <v>156</v>
      </c>
      <c r="C381" s="12" t="s">
        <v>1149</v>
      </c>
      <c r="D381" s="12" t="s">
        <v>1696</v>
      </c>
      <c r="E381" s="14">
        <v>100</v>
      </c>
      <c r="F381" s="23">
        <v>0.54</v>
      </c>
      <c r="G381" s="14">
        <v>47.019999999999996</v>
      </c>
      <c r="H381" s="25" t="s">
        <v>1615</v>
      </c>
      <c r="I381" s="12"/>
    </row>
    <row r="382" spans="1:9" x14ac:dyDescent="0.3">
      <c r="A382" s="11"/>
      <c r="B382" s="12" t="s">
        <v>156</v>
      </c>
      <c r="C382" s="12" t="s">
        <v>1150</v>
      </c>
      <c r="D382" s="12" t="s">
        <v>1696</v>
      </c>
      <c r="E382" s="14">
        <v>100</v>
      </c>
      <c r="F382" s="23">
        <v>0.48</v>
      </c>
      <c r="G382" s="14">
        <v>0</v>
      </c>
      <c r="H382" s="25" t="s">
        <v>1615</v>
      </c>
      <c r="I382" s="12"/>
    </row>
    <row r="383" spans="1:9" x14ac:dyDescent="0.3">
      <c r="A383" s="11"/>
      <c r="B383" s="12" t="s">
        <v>156</v>
      </c>
      <c r="C383" s="12" t="s">
        <v>1151</v>
      </c>
      <c r="D383" s="12" t="s">
        <v>1696</v>
      </c>
      <c r="E383" s="14">
        <v>250</v>
      </c>
      <c r="F383" s="23">
        <v>0.51</v>
      </c>
      <c r="G383" s="14">
        <v>0</v>
      </c>
      <c r="H383" s="25" t="s">
        <v>1615</v>
      </c>
      <c r="I383" s="12"/>
    </row>
    <row r="384" spans="1:9" x14ac:dyDescent="0.3">
      <c r="A384" s="11"/>
      <c r="B384" s="12" t="s">
        <v>156</v>
      </c>
      <c r="C384" s="12" t="s">
        <v>1152</v>
      </c>
      <c r="D384" s="12" t="s">
        <v>1655</v>
      </c>
      <c r="E384" s="14">
        <v>75</v>
      </c>
      <c r="F384" s="23">
        <v>0.46</v>
      </c>
      <c r="G384" s="14">
        <v>7.92</v>
      </c>
      <c r="H384" s="25" t="s">
        <v>1615</v>
      </c>
      <c r="I384" s="12"/>
    </row>
    <row r="385" spans="1:9" x14ac:dyDescent="0.3">
      <c r="A385" s="11"/>
      <c r="B385" s="12" t="s">
        <v>156</v>
      </c>
      <c r="C385" s="12" t="s">
        <v>1153</v>
      </c>
      <c r="D385" s="12" t="s">
        <v>1770</v>
      </c>
      <c r="E385" s="14">
        <v>160</v>
      </c>
      <c r="F385" s="23">
        <v>0.69</v>
      </c>
      <c r="G385" s="14">
        <v>0</v>
      </c>
      <c r="H385" s="25" t="s">
        <v>1615</v>
      </c>
      <c r="I385" s="12"/>
    </row>
    <row r="386" spans="1:9" x14ac:dyDescent="0.3">
      <c r="A386" s="11"/>
      <c r="B386" s="12" t="s">
        <v>156</v>
      </c>
      <c r="C386" s="12" t="s">
        <v>1154</v>
      </c>
      <c r="D386" s="12" t="s">
        <v>1654</v>
      </c>
      <c r="E386" s="14">
        <v>160</v>
      </c>
      <c r="F386" s="23">
        <v>0.73</v>
      </c>
      <c r="G386" s="14">
        <v>0</v>
      </c>
      <c r="H386" s="25" t="s">
        <v>1615</v>
      </c>
      <c r="I386" s="12"/>
    </row>
    <row r="387" spans="1:9" x14ac:dyDescent="0.3">
      <c r="A387" s="11"/>
      <c r="B387" s="12" t="s">
        <v>156</v>
      </c>
      <c r="C387" s="12" t="s">
        <v>1155</v>
      </c>
      <c r="D387" s="12" t="s">
        <v>1618</v>
      </c>
      <c r="E387" s="14">
        <v>160</v>
      </c>
      <c r="F387" s="23">
        <v>0.56000000000000005</v>
      </c>
      <c r="G387" s="14">
        <v>0</v>
      </c>
      <c r="H387" s="25" t="s">
        <v>1615</v>
      </c>
      <c r="I387" s="12"/>
    </row>
    <row r="388" spans="1:9" x14ac:dyDescent="0.3">
      <c r="A388" s="11"/>
      <c r="B388" s="12" t="s">
        <v>156</v>
      </c>
      <c r="C388" s="12" t="s">
        <v>1156</v>
      </c>
      <c r="D388" s="12" t="s">
        <v>1771</v>
      </c>
      <c r="E388" s="14">
        <v>250</v>
      </c>
      <c r="F388" s="23">
        <v>0.46</v>
      </c>
      <c r="G388" s="14">
        <v>5.4749999999999996</v>
      </c>
      <c r="H388" s="25" t="s">
        <v>1615</v>
      </c>
      <c r="I388" s="12"/>
    </row>
    <row r="389" spans="1:9" x14ac:dyDescent="0.3">
      <c r="A389" s="11"/>
      <c r="B389" s="12" t="s">
        <v>156</v>
      </c>
      <c r="C389" s="12" t="s">
        <v>1157</v>
      </c>
      <c r="D389" s="12" t="s">
        <v>1654</v>
      </c>
      <c r="E389" s="14">
        <v>150</v>
      </c>
      <c r="F389" s="23">
        <v>0.57999999999999996</v>
      </c>
      <c r="G389" s="14">
        <v>0</v>
      </c>
      <c r="H389" s="25" t="s">
        <v>1615</v>
      </c>
      <c r="I389" s="12"/>
    </row>
    <row r="390" spans="1:9" x14ac:dyDescent="0.3">
      <c r="A390" s="11"/>
      <c r="B390" s="12" t="s">
        <v>156</v>
      </c>
      <c r="C390" s="12" t="s">
        <v>1158</v>
      </c>
      <c r="D390" s="12" t="s">
        <v>1772</v>
      </c>
      <c r="E390" s="14">
        <v>50</v>
      </c>
      <c r="F390" s="23">
        <v>0.64</v>
      </c>
      <c r="G390" s="14">
        <v>0</v>
      </c>
      <c r="H390" s="25" t="s">
        <v>1615</v>
      </c>
      <c r="I390" s="12"/>
    </row>
    <row r="391" spans="1:9" x14ac:dyDescent="0.3">
      <c r="A391" s="11"/>
      <c r="B391" s="12" t="s">
        <v>152</v>
      </c>
      <c r="C391" s="12" t="s">
        <v>1159</v>
      </c>
      <c r="D391" s="12" t="s">
        <v>1706</v>
      </c>
      <c r="E391" s="14">
        <v>300</v>
      </c>
      <c r="F391" s="23">
        <v>0.74</v>
      </c>
      <c r="G391" s="14">
        <v>0</v>
      </c>
      <c r="H391" s="25" t="s">
        <v>1615</v>
      </c>
      <c r="I391" s="12"/>
    </row>
    <row r="392" spans="1:9" x14ac:dyDescent="0.3">
      <c r="A392" s="11"/>
      <c r="B392" s="12" t="s">
        <v>152</v>
      </c>
      <c r="C392" s="12" t="s">
        <v>1160</v>
      </c>
      <c r="D392" s="12" t="s">
        <v>1773</v>
      </c>
      <c r="E392" s="14">
        <v>150</v>
      </c>
      <c r="F392" s="23">
        <v>0.69</v>
      </c>
      <c r="G392" s="14">
        <v>0</v>
      </c>
      <c r="H392" s="25" t="s">
        <v>1615</v>
      </c>
      <c r="I392" s="12"/>
    </row>
    <row r="393" spans="1:9" x14ac:dyDescent="0.3">
      <c r="A393" s="11"/>
      <c r="B393" s="12" t="s">
        <v>152</v>
      </c>
      <c r="C393" s="12" t="s">
        <v>1161</v>
      </c>
      <c r="D393" s="12" t="s">
        <v>1773</v>
      </c>
      <c r="E393" s="14">
        <v>225</v>
      </c>
      <c r="F393" s="23">
        <v>0.74</v>
      </c>
      <c r="G393" s="14">
        <v>0</v>
      </c>
      <c r="H393" s="25" t="s">
        <v>1615</v>
      </c>
      <c r="I393" s="12"/>
    </row>
    <row r="394" spans="1:9" x14ac:dyDescent="0.3">
      <c r="A394" s="11"/>
      <c r="B394" s="12" t="s">
        <v>156</v>
      </c>
      <c r="C394" s="12" t="s">
        <v>1162</v>
      </c>
      <c r="D394" s="12" t="s">
        <v>1772</v>
      </c>
      <c r="E394" s="14">
        <v>150</v>
      </c>
      <c r="F394" s="23">
        <v>0.63</v>
      </c>
      <c r="G394" s="14">
        <v>0</v>
      </c>
      <c r="H394" s="25" t="s">
        <v>1615</v>
      </c>
      <c r="I394" s="12"/>
    </row>
    <row r="395" spans="1:9" x14ac:dyDescent="0.3">
      <c r="A395" s="11"/>
      <c r="B395" s="12" t="s">
        <v>156</v>
      </c>
      <c r="C395" s="12" t="s">
        <v>1163</v>
      </c>
      <c r="D395" s="12" t="s">
        <v>1696</v>
      </c>
      <c r="E395" s="14">
        <v>250</v>
      </c>
      <c r="F395" s="23">
        <v>0.59</v>
      </c>
      <c r="G395" s="14">
        <v>0</v>
      </c>
      <c r="H395" s="25" t="s">
        <v>1615</v>
      </c>
      <c r="I395" s="12"/>
    </row>
    <row r="396" spans="1:9" x14ac:dyDescent="0.3">
      <c r="A396" s="11"/>
      <c r="B396" s="12" t="s">
        <v>156</v>
      </c>
      <c r="C396" s="12" t="s">
        <v>1164</v>
      </c>
      <c r="D396" s="12" t="s">
        <v>1696</v>
      </c>
      <c r="E396" s="14">
        <v>200</v>
      </c>
      <c r="F396" s="23">
        <v>0.69</v>
      </c>
      <c r="G396" s="14">
        <v>0</v>
      </c>
      <c r="H396" s="25" t="s">
        <v>1615</v>
      </c>
      <c r="I396" s="12"/>
    </row>
    <row r="397" spans="1:9" x14ac:dyDescent="0.3">
      <c r="A397" s="11"/>
      <c r="B397" s="12" t="s">
        <v>153</v>
      </c>
      <c r="C397" s="12" t="s">
        <v>1165</v>
      </c>
      <c r="D397" s="12" t="s">
        <v>1677</v>
      </c>
      <c r="E397" s="14">
        <v>150</v>
      </c>
      <c r="F397" s="23">
        <v>0.74</v>
      </c>
      <c r="G397" s="14">
        <v>0</v>
      </c>
      <c r="H397" s="25" t="s">
        <v>1615</v>
      </c>
      <c r="I397" s="12"/>
    </row>
    <row r="398" spans="1:9" x14ac:dyDescent="0.3">
      <c r="A398" s="11"/>
      <c r="B398" s="12" t="s">
        <v>153</v>
      </c>
      <c r="C398" s="12" t="s">
        <v>1166</v>
      </c>
      <c r="D398" s="12" t="s">
        <v>1774</v>
      </c>
      <c r="E398" s="14">
        <v>250</v>
      </c>
      <c r="F398" s="23">
        <v>0.51</v>
      </c>
      <c r="G398" s="14">
        <v>0</v>
      </c>
      <c r="H398" s="25" t="s">
        <v>1615</v>
      </c>
      <c r="I398" s="12"/>
    </row>
    <row r="399" spans="1:9" x14ac:dyDescent="0.3">
      <c r="A399" s="11"/>
      <c r="B399" s="12" t="s">
        <v>153</v>
      </c>
      <c r="C399" s="12" t="s">
        <v>1167</v>
      </c>
      <c r="D399" s="12" t="s">
        <v>1775</v>
      </c>
      <c r="E399" s="14">
        <v>150</v>
      </c>
      <c r="F399" s="23">
        <v>0.63</v>
      </c>
      <c r="G399" s="14">
        <v>0</v>
      </c>
      <c r="H399" s="25" t="s">
        <v>1615</v>
      </c>
      <c r="I399" s="12"/>
    </row>
    <row r="400" spans="1:9" x14ac:dyDescent="0.3">
      <c r="A400" s="11"/>
      <c r="B400" s="12" t="s">
        <v>153</v>
      </c>
      <c r="C400" s="12" t="s">
        <v>1168</v>
      </c>
      <c r="D400" s="12" t="s">
        <v>1774</v>
      </c>
      <c r="E400" s="14">
        <v>150</v>
      </c>
      <c r="F400" s="23">
        <v>0.55000000000000004</v>
      </c>
      <c r="G400" s="14">
        <v>0</v>
      </c>
      <c r="H400" s="25" t="s">
        <v>1615</v>
      </c>
      <c r="I400" s="12"/>
    </row>
    <row r="401" spans="1:9" x14ac:dyDescent="0.3">
      <c r="A401" s="11"/>
      <c r="B401" s="12" t="s">
        <v>153</v>
      </c>
      <c r="C401" s="12" t="s">
        <v>1169</v>
      </c>
      <c r="D401" s="12" t="s">
        <v>1774</v>
      </c>
      <c r="E401" s="14">
        <v>250</v>
      </c>
      <c r="F401" s="23">
        <v>0.53</v>
      </c>
      <c r="G401" s="14">
        <v>0</v>
      </c>
      <c r="H401" s="25" t="s">
        <v>1615</v>
      </c>
      <c r="I401" s="12"/>
    </row>
    <row r="402" spans="1:9" x14ac:dyDescent="0.3">
      <c r="A402" s="11"/>
      <c r="B402" s="12" t="s">
        <v>151</v>
      </c>
      <c r="C402" s="12" t="s">
        <v>1170</v>
      </c>
      <c r="D402" s="12" t="s">
        <v>1627</v>
      </c>
      <c r="E402" s="14">
        <v>150</v>
      </c>
      <c r="F402" s="23">
        <v>0.61</v>
      </c>
      <c r="G402" s="14">
        <v>11.120000000000001</v>
      </c>
      <c r="H402" s="25" t="s">
        <v>1615</v>
      </c>
      <c r="I402" s="12"/>
    </row>
    <row r="403" spans="1:9" x14ac:dyDescent="0.3">
      <c r="A403" s="11"/>
      <c r="B403" s="12" t="s">
        <v>151</v>
      </c>
      <c r="C403" s="12" t="s">
        <v>1171</v>
      </c>
      <c r="D403" s="12" t="s">
        <v>1691</v>
      </c>
      <c r="E403" s="14">
        <v>150</v>
      </c>
      <c r="F403" s="23">
        <v>0.62</v>
      </c>
      <c r="G403" s="14">
        <v>0</v>
      </c>
      <c r="H403" s="25" t="s">
        <v>1615</v>
      </c>
      <c r="I403" s="12"/>
    </row>
    <row r="404" spans="1:9" x14ac:dyDescent="0.3">
      <c r="A404" s="11"/>
      <c r="B404" s="12" t="s">
        <v>151</v>
      </c>
      <c r="C404" s="12" t="s">
        <v>1172</v>
      </c>
      <c r="D404" s="12" t="s">
        <v>1687</v>
      </c>
      <c r="E404" s="14">
        <v>100</v>
      </c>
      <c r="F404" s="23">
        <v>0.51</v>
      </c>
      <c r="G404" s="14">
        <v>5.6</v>
      </c>
      <c r="H404" s="25" t="s">
        <v>1615</v>
      </c>
      <c r="I404" s="12"/>
    </row>
    <row r="405" spans="1:9" x14ac:dyDescent="0.3">
      <c r="A405" s="11"/>
      <c r="B405" s="12" t="s">
        <v>151</v>
      </c>
      <c r="C405" s="12" t="s">
        <v>1173</v>
      </c>
      <c r="D405" s="12" t="s">
        <v>1689</v>
      </c>
      <c r="E405" s="14">
        <v>75</v>
      </c>
      <c r="F405" s="23">
        <v>0.69</v>
      </c>
      <c r="G405" s="14">
        <v>0</v>
      </c>
      <c r="H405" s="25" t="s">
        <v>1615</v>
      </c>
      <c r="I405" s="12"/>
    </row>
    <row r="406" spans="1:9" x14ac:dyDescent="0.3">
      <c r="A406" s="11"/>
      <c r="B406" s="12" t="s">
        <v>151</v>
      </c>
      <c r="C406" s="12" t="s">
        <v>1174</v>
      </c>
      <c r="D406" s="12" t="s">
        <v>1687</v>
      </c>
      <c r="E406" s="14">
        <v>225</v>
      </c>
      <c r="F406" s="23">
        <v>0.74</v>
      </c>
      <c r="G406" s="14">
        <v>50.4</v>
      </c>
      <c r="H406" s="25" t="s">
        <v>1615</v>
      </c>
      <c r="I406" s="12"/>
    </row>
    <row r="407" spans="1:9" x14ac:dyDescent="0.3">
      <c r="A407" s="11"/>
      <c r="B407" s="12" t="s">
        <v>151</v>
      </c>
      <c r="C407" s="12" t="s">
        <v>1175</v>
      </c>
      <c r="D407" s="12" t="s">
        <v>1627</v>
      </c>
      <c r="E407" s="14">
        <v>225</v>
      </c>
      <c r="F407" s="23">
        <v>0.71</v>
      </c>
      <c r="G407" s="14">
        <v>0</v>
      </c>
      <c r="H407" s="25" t="s">
        <v>1615</v>
      </c>
      <c r="I407" s="12"/>
    </row>
    <row r="408" spans="1:9" x14ac:dyDescent="0.3">
      <c r="A408" s="11"/>
      <c r="B408" s="12" t="s">
        <v>151</v>
      </c>
      <c r="C408" s="12" t="s">
        <v>1176</v>
      </c>
      <c r="D408" s="12" t="s">
        <v>1687</v>
      </c>
      <c r="E408" s="14">
        <v>150</v>
      </c>
      <c r="F408" s="23">
        <v>0.59</v>
      </c>
      <c r="G408" s="14">
        <v>70.400000000000006</v>
      </c>
      <c r="H408" s="25" t="s">
        <v>1615</v>
      </c>
      <c r="I408" s="12"/>
    </row>
    <row r="409" spans="1:9" x14ac:dyDescent="0.3">
      <c r="A409" s="11"/>
      <c r="B409" s="12" t="s">
        <v>153</v>
      </c>
      <c r="C409" s="12" t="s">
        <v>1177</v>
      </c>
      <c r="D409" s="12" t="s">
        <v>1776</v>
      </c>
      <c r="E409" s="14">
        <v>320</v>
      </c>
      <c r="F409" s="23">
        <v>0.57999999999999996</v>
      </c>
      <c r="G409" s="14">
        <v>0</v>
      </c>
      <c r="H409" s="25" t="s">
        <v>1615</v>
      </c>
      <c r="I409" s="12"/>
    </row>
    <row r="410" spans="1:9" x14ac:dyDescent="0.3">
      <c r="A410" s="11"/>
      <c r="B410" s="12" t="s">
        <v>153</v>
      </c>
      <c r="C410" s="12" t="s">
        <v>1178</v>
      </c>
      <c r="D410" s="12" t="s">
        <v>1777</v>
      </c>
      <c r="E410" s="14">
        <v>100</v>
      </c>
      <c r="F410" s="23">
        <v>0.66</v>
      </c>
      <c r="G410" s="14">
        <v>6.36</v>
      </c>
      <c r="H410" s="25" t="s">
        <v>1615</v>
      </c>
      <c r="I410" s="12"/>
    </row>
    <row r="411" spans="1:9" x14ac:dyDescent="0.3">
      <c r="A411" s="11"/>
      <c r="B411" s="12" t="s">
        <v>153</v>
      </c>
      <c r="C411" s="12" t="s">
        <v>1179</v>
      </c>
      <c r="D411" s="12" t="s">
        <v>1776</v>
      </c>
      <c r="E411" s="14">
        <v>150</v>
      </c>
      <c r="F411" s="23">
        <v>0.45</v>
      </c>
      <c r="G411" s="14">
        <v>0</v>
      </c>
      <c r="H411" s="25" t="s">
        <v>1615</v>
      </c>
      <c r="I411" s="12"/>
    </row>
    <row r="412" spans="1:9" x14ac:dyDescent="0.3">
      <c r="A412" s="11"/>
      <c r="B412" s="12" t="s">
        <v>153</v>
      </c>
      <c r="C412" s="12" t="s">
        <v>1180</v>
      </c>
      <c r="D412" s="12" t="s">
        <v>1776</v>
      </c>
      <c r="E412" s="14">
        <v>200</v>
      </c>
      <c r="F412" s="23">
        <v>0.48</v>
      </c>
      <c r="G412" s="14">
        <v>0</v>
      </c>
      <c r="H412" s="25" t="s">
        <v>1615</v>
      </c>
      <c r="I412" s="12"/>
    </row>
    <row r="413" spans="1:9" x14ac:dyDescent="0.3">
      <c r="A413" s="11"/>
      <c r="B413" s="12" t="s">
        <v>153</v>
      </c>
      <c r="C413" s="12" t="s">
        <v>1181</v>
      </c>
      <c r="D413" s="12" t="s">
        <v>1776</v>
      </c>
      <c r="E413" s="14">
        <v>75</v>
      </c>
      <c r="F413" s="23">
        <v>0.69</v>
      </c>
      <c r="G413" s="14">
        <v>0</v>
      </c>
      <c r="H413" s="25" t="s">
        <v>1615</v>
      </c>
      <c r="I413" s="12"/>
    </row>
    <row r="414" spans="1:9" x14ac:dyDescent="0.3">
      <c r="A414" s="11"/>
      <c r="B414" s="12" t="s">
        <v>153</v>
      </c>
      <c r="C414" s="12" t="s">
        <v>1182</v>
      </c>
      <c r="D414" s="12" t="s">
        <v>1776</v>
      </c>
      <c r="E414" s="14">
        <v>150</v>
      </c>
      <c r="F414" s="23">
        <v>0.45</v>
      </c>
      <c r="G414" s="14">
        <v>0</v>
      </c>
      <c r="H414" s="25" t="s">
        <v>1615</v>
      </c>
      <c r="I414" s="12"/>
    </row>
    <row r="415" spans="1:9" x14ac:dyDescent="0.3">
      <c r="A415" s="11"/>
      <c r="B415" s="12" t="s">
        <v>153</v>
      </c>
      <c r="C415" s="12" t="s">
        <v>1183</v>
      </c>
      <c r="D415" s="12" t="s">
        <v>1778</v>
      </c>
      <c r="E415" s="14">
        <v>15</v>
      </c>
      <c r="F415" s="23">
        <v>0.56000000000000005</v>
      </c>
      <c r="G415" s="14">
        <v>0</v>
      </c>
      <c r="H415" s="25" t="s">
        <v>1615</v>
      </c>
      <c r="I415" s="12"/>
    </row>
    <row r="416" spans="1:9" x14ac:dyDescent="0.3">
      <c r="A416" s="11"/>
      <c r="B416" s="12" t="s">
        <v>153</v>
      </c>
      <c r="C416" s="12" t="s">
        <v>1184</v>
      </c>
      <c r="D416" s="12" t="s">
        <v>1776</v>
      </c>
      <c r="E416" s="14">
        <v>250</v>
      </c>
      <c r="F416" s="23">
        <v>0.75</v>
      </c>
      <c r="G416" s="14">
        <v>0</v>
      </c>
      <c r="H416" s="25" t="s">
        <v>1615</v>
      </c>
      <c r="I416" s="12"/>
    </row>
    <row r="417" spans="1:9" x14ac:dyDescent="0.3">
      <c r="A417" s="11"/>
      <c r="B417" s="12" t="s">
        <v>156</v>
      </c>
      <c r="C417" s="12" t="s">
        <v>1185</v>
      </c>
      <c r="D417" s="12" t="s">
        <v>1741</v>
      </c>
      <c r="E417" s="14">
        <v>150</v>
      </c>
      <c r="F417" s="23">
        <v>0.54</v>
      </c>
      <c r="G417" s="14">
        <v>0</v>
      </c>
      <c r="H417" s="25" t="s">
        <v>1615</v>
      </c>
      <c r="I417" s="12"/>
    </row>
    <row r="418" spans="1:9" x14ac:dyDescent="0.3">
      <c r="A418" s="11"/>
      <c r="B418" s="12" t="s">
        <v>156</v>
      </c>
      <c r="C418" s="12" t="s">
        <v>1186</v>
      </c>
      <c r="D418" s="12" t="s">
        <v>1779</v>
      </c>
      <c r="E418" s="14">
        <v>400</v>
      </c>
      <c r="F418" s="23">
        <v>0.63</v>
      </c>
      <c r="G418" s="14">
        <v>0</v>
      </c>
      <c r="H418" s="25" t="s">
        <v>1615</v>
      </c>
      <c r="I418" s="12"/>
    </row>
    <row r="419" spans="1:9" x14ac:dyDescent="0.3">
      <c r="A419" s="11"/>
      <c r="B419" s="12" t="s">
        <v>156</v>
      </c>
      <c r="C419" s="12" t="s">
        <v>1187</v>
      </c>
      <c r="D419" s="12" t="s">
        <v>1779</v>
      </c>
      <c r="E419" s="14">
        <v>300</v>
      </c>
      <c r="F419" s="23">
        <v>0.67</v>
      </c>
      <c r="G419" s="14">
        <v>0</v>
      </c>
      <c r="H419" s="25" t="s">
        <v>1615</v>
      </c>
      <c r="I419" s="12"/>
    </row>
    <row r="420" spans="1:9" x14ac:dyDescent="0.3">
      <c r="A420" s="11"/>
      <c r="B420" s="12" t="s">
        <v>156</v>
      </c>
      <c r="C420" s="12" t="s">
        <v>1188</v>
      </c>
      <c r="D420" s="12" t="s">
        <v>1699</v>
      </c>
      <c r="E420" s="14">
        <v>225</v>
      </c>
      <c r="F420" s="23">
        <v>0.45</v>
      </c>
      <c r="G420" s="14">
        <v>0</v>
      </c>
      <c r="H420" s="25" t="s">
        <v>1615</v>
      </c>
      <c r="I420" s="12"/>
    </row>
    <row r="421" spans="1:9" x14ac:dyDescent="0.3">
      <c r="A421" s="11"/>
      <c r="B421" s="12" t="s">
        <v>156</v>
      </c>
      <c r="C421" s="12" t="s">
        <v>1189</v>
      </c>
      <c r="D421" s="12" t="s">
        <v>1779</v>
      </c>
      <c r="E421" s="14">
        <v>150</v>
      </c>
      <c r="F421" s="23">
        <v>0.65</v>
      </c>
      <c r="G421" s="14">
        <v>0</v>
      </c>
      <c r="H421" s="25" t="s">
        <v>1615</v>
      </c>
      <c r="I421" s="12"/>
    </row>
    <row r="422" spans="1:9" x14ac:dyDescent="0.3">
      <c r="A422" s="11"/>
      <c r="B422" s="12" t="s">
        <v>156</v>
      </c>
      <c r="C422" s="12" t="s">
        <v>1190</v>
      </c>
      <c r="D422" s="12" t="s">
        <v>1699</v>
      </c>
      <c r="E422" s="14">
        <v>150</v>
      </c>
      <c r="F422" s="23">
        <v>0.59</v>
      </c>
      <c r="G422" s="14">
        <v>6.24</v>
      </c>
      <c r="H422" s="25" t="s">
        <v>1615</v>
      </c>
      <c r="I422" s="12"/>
    </row>
    <row r="423" spans="1:9" x14ac:dyDescent="0.3">
      <c r="A423" s="11"/>
      <c r="B423" s="12" t="s">
        <v>156</v>
      </c>
      <c r="C423" s="12" t="s">
        <v>1191</v>
      </c>
      <c r="D423" s="12" t="s">
        <v>1779</v>
      </c>
      <c r="E423" s="14">
        <v>250</v>
      </c>
      <c r="F423" s="23">
        <v>0.53</v>
      </c>
      <c r="G423" s="14">
        <v>9.9</v>
      </c>
      <c r="H423" s="25" t="s">
        <v>1615</v>
      </c>
      <c r="I423" s="12"/>
    </row>
    <row r="424" spans="1:9" x14ac:dyDescent="0.3">
      <c r="A424" s="11"/>
      <c r="B424" s="12" t="s">
        <v>156</v>
      </c>
      <c r="C424" s="12" t="s">
        <v>1192</v>
      </c>
      <c r="D424" s="12" t="s">
        <v>1779</v>
      </c>
      <c r="E424" s="14">
        <v>150</v>
      </c>
      <c r="F424" s="23">
        <v>0.75</v>
      </c>
      <c r="G424" s="14">
        <v>0</v>
      </c>
      <c r="H424" s="25" t="s">
        <v>1615</v>
      </c>
      <c r="I424" s="12"/>
    </row>
    <row r="425" spans="1:9" x14ac:dyDescent="0.3">
      <c r="A425" s="11"/>
      <c r="B425" s="12" t="s">
        <v>156</v>
      </c>
      <c r="C425" s="12" t="s">
        <v>1193</v>
      </c>
      <c r="D425" s="12" t="s">
        <v>1699</v>
      </c>
      <c r="E425" s="14">
        <v>150</v>
      </c>
      <c r="F425" s="23">
        <v>0.63</v>
      </c>
      <c r="G425" s="14">
        <v>0</v>
      </c>
      <c r="H425" s="25" t="s">
        <v>1615</v>
      </c>
      <c r="I425" s="12"/>
    </row>
    <row r="426" spans="1:9" x14ac:dyDescent="0.3">
      <c r="A426" s="11"/>
      <c r="B426" s="12" t="s">
        <v>156</v>
      </c>
      <c r="C426" s="12" t="s">
        <v>1194</v>
      </c>
      <c r="D426" s="12" t="s">
        <v>1779</v>
      </c>
      <c r="E426" s="14">
        <v>225</v>
      </c>
      <c r="F426" s="23">
        <v>0.54</v>
      </c>
      <c r="G426" s="14">
        <v>0</v>
      </c>
      <c r="H426" s="25" t="s">
        <v>1615</v>
      </c>
      <c r="I426" s="12"/>
    </row>
    <row r="427" spans="1:9" x14ac:dyDescent="0.3">
      <c r="A427" s="11"/>
      <c r="B427" s="12" t="s">
        <v>156</v>
      </c>
      <c r="C427" s="12" t="s">
        <v>1195</v>
      </c>
      <c r="D427" s="12" t="s">
        <v>1779</v>
      </c>
      <c r="E427" s="14">
        <v>150</v>
      </c>
      <c r="F427" s="23">
        <v>0.64</v>
      </c>
      <c r="G427" s="14">
        <v>0</v>
      </c>
      <c r="H427" s="25" t="s">
        <v>1615</v>
      </c>
      <c r="I427" s="12"/>
    </row>
    <row r="428" spans="1:9" x14ac:dyDescent="0.3">
      <c r="A428" s="11"/>
      <c r="B428" s="12" t="s">
        <v>156</v>
      </c>
      <c r="C428" s="12" t="s">
        <v>1196</v>
      </c>
      <c r="D428" s="12" t="s">
        <v>1733</v>
      </c>
      <c r="E428" s="14">
        <v>75</v>
      </c>
      <c r="F428" s="23">
        <v>0.62</v>
      </c>
      <c r="G428" s="14">
        <v>0</v>
      </c>
      <c r="H428" s="25" t="s">
        <v>1615</v>
      </c>
      <c r="I428" s="12"/>
    </row>
    <row r="429" spans="1:9" x14ac:dyDescent="0.3">
      <c r="A429" s="11"/>
      <c r="B429" s="12" t="s">
        <v>156</v>
      </c>
      <c r="C429" s="12" t="s">
        <v>1197</v>
      </c>
      <c r="D429" s="12" t="s">
        <v>1699</v>
      </c>
      <c r="E429" s="14">
        <v>112.5</v>
      </c>
      <c r="F429" s="23">
        <v>0.74</v>
      </c>
      <c r="G429" s="14">
        <v>0</v>
      </c>
      <c r="H429" s="25" t="s">
        <v>1615</v>
      </c>
      <c r="I429" s="12"/>
    </row>
    <row r="430" spans="1:9" x14ac:dyDescent="0.3">
      <c r="A430" s="11"/>
      <c r="B430" s="12" t="s">
        <v>156</v>
      </c>
      <c r="C430" s="12" t="s">
        <v>1198</v>
      </c>
      <c r="D430" s="12" t="s">
        <v>1779</v>
      </c>
      <c r="E430" s="14">
        <v>75</v>
      </c>
      <c r="F430" s="23">
        <v>0.48</v>
      </c>
      <c r="G430" s="14">
        <v>0</v>
      </c>
      <c r="H430" s="25" t="s">
        <v>1615</v>
      </c>
      <c r="I430" s="12"/>
    </row>
    <row r="431" spans="1:9" x14ac:dyDescent="0.3">
      <c r="A431" s="11"/>
      <c r="B431" s="12" t="s">
        <v>156</v>
      </c>
      <c r="C431" s="12" t="s">
        <v>1199</v>
      </c>
      <c r="D431" s="12" t="s">
        <v>1779</v>
      </c>
      <c r="E431" s="14">
        <v>100</v>
      </c>
      <c r="F431" s="23">
        <v>0.55000000000000004</v>
      </c>
      <c r="G431" s="14">
        <v>0</v>
      </c>
      <c r="H431" s="25" t="s">
        <v>1615</v>
      </c>
      <c r="I431" s="12"/>
    </row>
    <row r="432" spans="1:9" x14ac:dyDescent="0.3">
      <c r="A432" s="11"/>
      <c r="B432" s="12" t="s">
        <v>156</v>
      </c>
      <c r="C432" s="12" t="s">
        <v>1200</v>
      </c>
      <c r="D432" s="12" t="s">
        <v>1779</v>
      </c>
      <c r="E432" s="14">
        <v>160</v>
      </c>
      <c r="F432" s="23">
        <v>0.54</v>
      </c>
      <c r="G432" s="14">
        <v>0</v>
      </c>
      <c r="H432" s="25" t="s">
        <v>1615</v>
      </c>
      <c r="I432" s="12"/>
    </row>
    <row r="433" spans="1:9" x14ac:dyDescent="0.3">
      <c r="A433" s="11"/>
      <c r="B433" s="12" t="s">
        <v>156</v>
      </c>
      <c r="C433" s="12" t="s">
        <v>1201</v>
      </c>
      <c r="D433" s="12" t="s">
        <v>1779</v>
      </c>
      <c r="E433" s="14">
        <v>160</v>
      </c>
      <c r="F433" s="23">
        <v>0.5</v>
      </c>
      <c r="G433" s="14">
        <v>0</v>
      </c>
      <c r="H433" s="25" t="s">
        <v>1615</v>
      </c>
      <c r="I433" s="12"/>
    </row>
    <row r="434" spans="1:9" x14ac:dyDescent="0.3">
      <c r="A434" s="11"/>
      <c r="B434" s="12" t="s">
        <v>156</v>
      </c>
      <c r="C434" s="12" t="s">
        <v>1202</v>
      </c>
      <c r="D434" s="12" t="s">
        <v>1779</v>
      </c>
      <c r="E434" s="14">
        <v>100</v>
      </c>
      <c r="F434" s="23">
        <v>0.47</v>
      </c>
      <c r="G434" s="14">
        <v>0</v>
      </c>
      <c r="H434" s="25" t="s">
        <v>1615</v>
      </c>
      <c r="I434" s="12"/>
    </row>
    <row r="435" spans="1:9" x14ac:dyDescent="0.3">
      <c r="A435" s="11"/>
      <c r="B435" s="12" t="s">
        <v>156</v>
      </c>
      <c r="C435" s="12" t="s">
        <v>1203</v>
      </c>
      <c r="D435" s="12" t="s">
        <v>1779</v>
      </c>
      <c r="E435" s="14">
        <v>100</v>
      </c>
      <c r="F435" s="23">
        <v>0.61</v>
      </c>
      <c r="G435" s="14">
        <v>5.28</v>
      </c>
      <c r="H435" s="25" t="s">
        <v>1615</v>
      </c>
      <c r="I435" s="12"/>
    </row>
    <row r="436" spans="1:9" x14ac:dyDescent="0.3">
      <c r="A436" s="11"/>
      <c r="B436" s="12" t="s">
        <v>156</v>
      </c>
      <c r="C436" s="12" t="s">
        <v>1204</v>
      </c>
      <c r="D436" s="12" t="s">
        <v>1656</v>
      </c>
      <c r="E436" s="14">
        <v>150</v>
      </c>
      <c r="F436" s="23">
        <v>0.68</v>
      </c>
      <c r="G436" s="14">
        <v>0</v>
      </c>
      <c r="H436" s="25" t="s">
        <v>1615</v>
      </c>
      <c r="I436" s="12"/>
    </row>
    <row r="437" spans="1:9" x14ac:dyDescent="0.3">
      <c r="A437" s="11"/>
      <c r="B437" s="12" t="s">
        <v>156</v>
      </c>
      <c r="C437" s="12" t="s">
        <v>1205</v>
      </c>
      <c r="D437" s="12" t="s">
        <v>1779</v>
      </c>
      <c r="E437" s="14">
        <v>112.5</v>
      </c>
      <c r="F437" s="23">
        <v>0.49</v>
      </c>
      <c r="G437" s="14">
        <v>0</v>
      </c>
      <c r="H437" s="25" t="s">
        <v>1615</v>
      </c>
      <c r="I437" s="12"/>
    </row>
    <row r="438" spans="1:9" x14ac:dyDescent="0.3">
      <c r="A438" s="11"/>
      <c r="B438" s="12" t="s">
        <v>154</v>
      </c>
      <c r="C438" s="12" t="s">
        <v>1206</v>
      </c>
      <c r="D438" s="12" t="s">
        <v>1780</v>
      </c>
      <c r="E438" s="14">
        <v>75</v>
      </c>
      <c r="F438" s="23">
        <v>0.56999999999999995</v>
      </c>
      <c r="G438" s="14">
        <v>0</v>
      </c>
      <c r="H438" s="25" t="s">
        <v>1615</v>
      </c>
      <c r="I438" s="12"/>
    </row>
    <row r="439" spans="1:9" x14ac:dyDescent="0.3">
      <c r="A439" s="11"/>
      <c r="B439" s="12" t="s">
        <v>154</v>
      </c>
      <c r="C439" s="12" t="s">
        <v>1207</v>
      </c>
      <c r="D439" s="12" t="s">
        <v>1781</v>
      </c>
      <c r="E439" s="14">
        <v>112.5</v>
      </c>
      <c r="F439" s="23">
        <v>0.68</v>
      </c>
      <c r="G439" s="14">
        <v>0</v>
      </c>
      <c r="H439" s="25" t="s">
        <v>1615</v>
      </c>
      <c r="I439" s="12"/>
    </row>
    <row r="440" spans="1:9" x14ac:dyDescent="0.3">
      <c r="A440" s="11"/>
      <c r="B440" s="12" t="s">
        <v>154</v>
      </c>
      <c r="C440" s="12" t="s">
        <v>1208</v>
      </c>
      <c r="D440" s="12" t="s">
        <v>1781</v>
      </c>
      <c r="E440" s="14">
        <v>75</v>
      </c>
      <c r="F440" s="23">
        <v>0.6</v>
      </c>
      <c r="G440" s="14">
        <v>0</v>
      </c>
      <c r="H440" s="25" t="s">
        <v>1615</v>
      </c>
      <c r="I440" s="12"/>
    </row>
    <row r="441" spans="1:9" x14ac:dyDescent="0.3">
      <c r="A441" s="11"/>
      <c r="B441" s="12" t="s">
        <v>154</v>
      </c>
      <c r="C441" s="12" t="s">
        <v>1209</v>
      </c>
      <c r="D441" s="12" t="s">
        <v>1782</v>
      </c>
      <c r="E441" s="14">
        <v>150</v>
      </c>
      <c r="F441" s="23">
        <v>0.52</v>
      </c>
      <c r="G441" s="14">
        <v>0</v>
      </c>
      <c r="H441" s="25" t="s">
        <v>1615</v>
      </c>
      <c r="I441" s="12"/>
    </row>
    <row r="442" spans="1:9" x14ac:dyDescent="0.3">
      <c r="A442" s="11"/>
      <c r="B442" s="12" t="s">
        <v>154</v>
      </c>
      <c r="C442" s="12" t="s">
        <v>1210</v>
      </c>
      <c r="D442" s="12" t="s">
        <v>1782</v>
      </c>
      <c r="E442" s="14">
        <v>50</v>
      </c>
      <c r="F442" s="23">
        <v>0.62</v>
      </c>
      <c r="G442" s="14">
        <v>0</v>
      </c>
      <c r="H442" s="25" t="s">
        <v>1615</v>
      </c>
      <c r="I442" s="12"/>
    </row>
    <row r="443" spans="1:9" x14ac:dyDescent="0.3">
      <c r="A443" s="11"/>
      <c r="B443" s="12" t="s">
        <v>156</v>
      </c>
      <c r="C443" s="12" t="s">
        <v>1211</v>
      </c>
      <c r="D443" s="12" t="s">
        <v>1699</v>
      </c>
      <c r="E443" s="14">
        <v>300</v>
      </c>
      <c r="F443" s="23">
        <v>0.49</v>
      </c>
      <c r="G443" s="14">
        <v>5</v>
      </c>
      <c r="H443" s="25" t="s">
        <v>1615</v>
      </c>
      <c r="I443" s="12"/>
    </row>
    <row r="444" spans="1:9" x14ac:dyDescent="0.3">
      <c r="A444" s="11"/>
      <c r="B444" s="12" t="s">
        <v>156</v>
      </c>
      <c r="C444" s="12" t="s">
        <v>1212</v>
      </c>
      <c r="D444" s="12" t="s">
        <v>1741</v>
      </c>
      <c r="E444" s="14">
        <v>400</v>
      </c>
      <c r="F444" s="23">
        <v>0.51</v>
      </c>
      <c r="G444" s="14">
        <v>0</v>
      </c>
      <c r="H444" s="25" t="s">
        <v>1615</v>
      </c>
      <c r="I444" s="12"/>
    </row>
    <row r="445" spans="1:9" x14ac:dyDescent="0.3">
      <c r="A445" s="11"/>
      <c r="B445" s="12" t="s">
        <v>156</v>
      </c>
      <c r="C445" s="12" t="s">
        <v>1213</v>
      </c>
      <c r="D445" s="12" t="s">
        <v>1741</v>
      </c>
      <c r="E445" s="14">
        <v>225</v>
      </c>
      <c r="F445" s="23">
        <v>0.74</v>
      </c>
      <c r="G445" s="14">
        <v>0</v>
      </c>
      <c r="H445" s="25" t="s">
        <v>1615</v>
      </c>
      <c r="I445" s="12"/>
    </row>
    <row r="446" spans="1:9" x14ac:dyDescent="0.3">
      <c r="A446" s="11"/>
      <c r="B446" s="12" t="s">
        <v>156</v>
      </c>
      <c r="C446" s="12" t="s">
        <v>1214</v>
      </c>
      <c r="D446" s="12" t="s">
        <v>1741</v>
      </c>
      <c r="E446" s="14">
        <v>160</v>
      </c>
      <c r="F446" s="23">
        <v>0.48</v>
      </c>
      <c r="G446" s="14">
        <v>0</v>
      </c>
      <c r="H446" s="25" t="s">
        <v>1615</v>
      </c>
      <c r="I446" s="12"/>
    </row>
    <row r="447" spans="1:9" x14ac:dyDescent="0.3">
      <c r="A447" s="11"/>
      <c r="B447" s="12" t="s">
        <v>156</v>
      </c>
      <c r="C447" s="12" t="s">
        <v>1215</v>
      </c>
      <c r="D447" s="12" t="s">
        <v>1656</v>
      </c>
      <c r="E447" s="14">
        <v>150</v>
      </c>
      <c r="F447" s="23">
        <v>0.56999999999999995</v>
      </c>
      <c r="G447" s="14">
        <v>0</v>
      </c>
      <c r="H447" s="25" t="s">
        <v>1615</v>
      </c>
      <c r="I447" s="12"/>
    </row>
    <row r="448" spans="1:9" x14ac:dyDescent="0.3">
      <c r="A448" s="11"/>
      <c r="B448" s="12" t="s">
        <v>156</v>
      </c>
      <c r="C448" s="12" t="s">
        <v>1216</v>
      </c>
      <c r="D448" s="12" t="s">
        <v>1783</v>
      </c>
      <c r="E448" s="14">
        <v>300</v>
      </c>
      <c r="F448" s="23">
        <v>0.52</v>
      </c>
      <c r="G448" s="14">
        <v>46.64</v>
      </c>
      <c r="H448" s="25" t="s">
        <v>1615</v>
      </c>
      <c r="I448" s="12"/>
    </row>
    <row r="449" spans="1:9" x14ac:dyDescent="0.3">
      <c r="A449" s="11"/>
      <c r="B449" s="12" t="s">
        <v>156</v>
      </c>
      <c r="C449" s="12" t="s">
        <v>1217</v>
      </c>
      <c r="D449" s="12" t="s">
        <v>1784</v>
      </c>
      <c r="E449" s="14">
        <v>160</v>
      </c>
      <c r="F449" s="23">
        <v>0.6</v>
      </c>
      <c r="G449" s="14">
        <v>0</v>
      </c>
      <c r="H449" s="25" t="s">
        <v>1615</v>
      </c>
      <c r="I449" s="12"/>
    </row>
    <row r="450" spans="1:9" x14ac:dyDescent="0.3">
      <c r="A450" s="11"/>
      <c r="B450" s="12" t="s">
        <v>156</v>
      </c>
      <c r="C450" s="12" t="s">
        <v>1218</v>
      </c>
      <c r="D450" s="12" t="s">
        <v>1785</v>
      </c>
      <c r="E450" s="14">
        <v>250</v>
      </c>
      <c r="F450" s="23">
        <v>0.71</v>
      </c>
      <c r="G450" s="14">
        <v>15.84</v>
      </c>
      <c r="H450" s="25" t="s">
        <v>1615</v>
      </c>
      <c r="I450" s="12"/>
    </row>
    <row r="451" spans="1:9" x14ac:dyDescent="0.3">
      <c r="A451" s="11"/>
      <c r="B451" s="12" t="s">
        <v>152</v>
      </c>
      <c r="C451" s="12" t="s">
        <v>1219</v>
      </c>
      <c r="D451" s="12" t="s">
        <v>1773</v>
      </c>
      <c r="E451" s="14">
        <v>250</v>
      </c>
      <c r="F451" s="23">
        <v>0.51</v>
      </c>
      <c r="G451" s="14">
        <v>0</v>
      </c>
      <c r="H451" s="25" t="s">
        <v>1615</v>
      </c>
      <c r="I451" s="12"/>
    </row>
    <row r="452" spans="1:9" x14ac:dyDescent="0.3">
      <c r="A452" s="11"/>
      <c r="B452" s="12" t="s">
        <v>152</v>
      </c>
      <c r="C452" s="12" t="s">
        <v>1220</v>
      </c>
      <c r="D452" s="12" t="s">
        <v>1706</v>
      </c>
      <c r="E452" s="14">
        <v>150</v>
      </c>
      <c r="F452" s="23">
        <v>0.56000000000000005</v>
      </c>
      <c r="G452" s="14">
        <v>0</v>
      </c>
      <c r="H452" s="25" t="s">
        <v>1615</v>
      </c>
      <c r="I452" s="12"/>
    </row>
    <row r="453" spans="1:9" x14ac:dyDescent="0.3">
      <c r="A453" s="11"/>
      <c r="B453" s="12" t="s">
        <v>152</v>
      </c>
      <c r="C453" s="12" t="s">
        <v>1221</v>
      </c>
      <c r="D453" s="12" t="s">
        <v>1660</v>
      </c>
      <c r="E453" s="14">
        <v>75</v>
      </c>
      <c r="F453" s="23">
        <v>0.66</v>
      </c>
      <c r="G453" s="14">
        <v>0</v>
      </c>
      <c r="H453" s="25" t="s">
        <v>1615</v>
      </c>
      <c r="I453" s="12"/>
    </row>
    <row r="454" spans="1:9" x14ac:dyDescent="0.3">
      <c r="A454" s="11"/>
      <c r="B454" s="12" t="s">
        <v>152</v>
      </c>
      <c r="C454" s="12" t="s">
        <v>1222</v>
      </c>
      <c r="D454" s="12" t="s">
        <v>1706</v>
      </c>
      <c r="E454" s="14">
        <v>150</v>
      </c>
      <c r="F454" s="23">
        <v>0.49</v>
      </c>
      <c r="G454" s="14">
        <v>0</v>
      </c>
      <c r="H454" s="25" t="s">
        <v>1615</v>
      </c>
      <c r="I454" s="12"/>
    </row>
    <row r="455" spans="1:9" x14ac:dyDescent="0.3">
      <c r="A455" s="11"/>
      <c r="B455" s="12" t="s">
        <v>152</v>
      </c>
      <c r="C455" s="12" t="s">
        <v>1223</v>
      </c>
      <c r="D455" s="12" t="s">
        <v>1700</v>
      </c>
      <c r="E455" s="14">
        <v>75</v>
      </c>
      <c r="F455" s="23">
        <v>0.75</v>
      </c>
      <c r="G455" s="14">
        <v>0</v>
      </c>
      <c r="H455" s="25" t="s">
        <v>1615</v>
      </c>
      <c r="I455" s="12"/>
    </row>
    <row r="456" spans="1:9" x14ac:dyDescent="0.3">
      <c r="A456" s="11"/>
      <c r="B456" s="12" t="s">
        <v>155</v>
      </c>
      <c r="C456" s="12" t="s">
        <v>1224</v>
      </c>
      <c r="D456" s="12" t="s">
        <v>1786</v>
      </c>
      <c r="E456" s="14">
        <v>75</v>
      </c>
      <c r="F456" s="23">
        <v>0.48</v>
      </c>
      <c r="G456" s="14">
        <v>0</v>
      </c>
      <c r="H456" s="25" t="s">
        <v>1615</v>
      </c>
      <c r="I456" s="12"/>
    </row>
    <row r="457" spans="1:9" x14ac:dyDescent="0.3">
      <c r="A457" s="11"/>
      <c r="B457" s="12" t="s">
        <v>155</v>
      </c>
      <c r="C457" s="12" t="s">
        <v>1225</v>
      </c>
      <c r="D457" s="12" t="s">
        <v>1787</v>
      </c>
      <c r="E457" s="14">
        <v>150</v>
      </c>
      <c r="F457" s="23">
        <v>0.67</v>
      </c>
      <c r="G457" s="14">
        <v>0</v>
      </c>
      <c r="H457" s="25" t="s">
        <v>1615</v>
      </c>
      <c r="I457" s="12"/>
    </row>
    <row r="458" spans="1:9" x14ac:dyDescent="0.3">
      <c r="A458" s="11"/>
      <c r="B458" s="12" t="s">
        <v>155</v>
      </c>
      <c r="C458" s="12" t="s">
        <v>1226</v>
      </c>
      <c r="D458" s="12" t="s">
        <v>1787</v>
      </c>
      <c r="E458" s="14">
        <v>100</v>
      </c>
      <c r="F458" s="23">
        <v>0.69</v>
      </c>
      <c r="G458" s="14">
        <v>0</v>
      </c>
      <c r="H458" s="25" t="s">
        <v>1615</v>
      </c>
      <c r="I458" s="12"/>
    </row>
    <row r="459" spans="1:9" x14ac:dyDescent="0.3">
      <c r="A459" s="11"/>
      <c r="B459" s="12" t="s">
        <v>155</v>
      </c>
      <c r="C459" s="12" t="s">
        <v>1227</v>
      </c>
      <c r="D459" s="12" t="s">
        <v>1788</v>
      </c>
      <c r="E459" s="14">
        <v>75</v>
      </c>
      <c r="F459" s="23">
        <v>0.68</v>
      </c>
      <c r="G459" s="14">
        <v>0</v>
      </c>
      <c r="H459" s="25" t="s">
        <v>1615</v>
      </c>
      <c r="I459" s="12"/>
    </row>
    <row r="460" spans="1:9" x14ac:dyDescent="0.3">
      <c r="A460" s="11"/>
      <c r="B460" s="12" t="s">
        <v>155</v>
      </c>
      <c r="C460" s="12" t="s">
        <v>1228</v>
      </c>
      <c r="D460" s="12" t="s">
        <v>1675</v>
      </c>
      <c r="E460" s="14">
        <v>50</v>
      </c>
      <c r="F460" s="23">
        <v>0.51</v>
      </c>
      <c r="G460" s="14">
        <v>0</v>
      </c>
      <c r="H460" s="25" t="s">
        <v>1615</v>
      </c>
      <c r="I460" s="12"/>
    </row>
    <row r="461" spans="1:9" x14ac:dyDescent="0.3">
      <c r="A461" s="11"/>
      <c r="B461" s="12" t="s">
        <v>155</v>
      </c>
      <c r="C461" s="12" t="s">
        <v>1229</v>
      </c>
      <c r="D461" s="12" t="s">
        <v>1789</v>
      </c>
      <c r="E461" s="14">
        <v>75</v>
      </c>
      <c r="F461" s="23">
        <v>0.7</v>
      </c>
      <c r="G461" s="14">
        <v>0</v>
      </c>
      <c r="H461" s="25" t="s">
        <v>1615</v>
      </c>
      <c r="I461" s="12"/>
    </row>
    <row r="462" spans="1:9" x14ac:dyDescent="0.3">
      <c r="A462" s="11"/>
      <c r="B462" s="12" t="s">
        <v>155</v>
      </c>
      <c r="C462" s="12" t="s">
        <v>1230</v>
      </c>
      <c r="D462" s="12" t="s">
        <v>1790</v>
      </c>
      <c r="E462" s="14">
        <v>75</v>
      </c>
      <c r="F462" s="23">
        <v>0.55000000000000004</v>
      </c>
      <c r="G462" s="14">
        <v>0</v>
      </c>
      <c r="H462" s="25" t="s">
        <v>1615</v>
      </c>
      <c r="I462" s="12"/>
    </row>
    <row r="463" spans="1:9" x14ac:dyDescent="0.3">
      <c r="A463" s="11"/>
      <c r="B463" s="12" t="s">
        <v>155</v>
      </c>
      <c r="C463" s="12" t="s">
        <v>1231</v>
      </c>
      <c r="D463" s="12" t="s">
        <v>1791</v>
      </c>
      <c r="E463" s="14">
        <v>50</v>
      </c>
      <c r="F463" s="23">
        <v>0.52</v>
      </c>
      <c r="G463" s="14">
        <v>0</v>
      </c>
      <c r="H463" s="25" t="s">
        <v>1615</v>
      </c>
      <c r="I463" s="12"/>
    </row>
    <row r="464" spans="1:9" x14ac:dyDescent="0.3">
      <c r="A464" s="11"/>
      <c r="B464" s="12" t="s">
        <v>155</v>
      </c>
      <c r="C464" s="12" t="s">
        <v>1232</v>
      </c>
      <c r="D464" s="12" t="s">
        <v>1791</v>
      </c>
      <c r="E464" s="14">
        <v>50</v>
      </c>
      <c r="F464" s="23">
        <v>0.67</v>
      </c>
      <c r="G464" s="14">
        <v>0</v>
      </c>
      <c r="H464" s="25" t="s">
        <v>1615</v>
      </c>
      <c r="I464" s="12"/>
    </row>
    <row r="465" spans="1:9" x14ac:dyDescent="0.3">
      <c r="A465" s="11"/>
      <c r="B465" s="12" t="s">
        <v>155</v>
      </c>
      <c r="C465" s="12" t="s">
        <v>1233</v>
      </c>
      <c r="D465" s="12" t="s">
        <v>1791</v>
      </c>
      <c r="E465" s="14">
        <v>50</v>
      </c>
      <c r="F465" s="23">
        <v>0.74</v>
      </c>
      <c r="G465" s="14">
        <v>0</v>
      </c>
      <c r="H465" s="25" t="s">
        <v>1615</v>
      </c>
      <c r="I465" s="12"/>
    </row>
    <row r="466" spans="1:9" x14ac:dyDescent="0.3">
      <c r="A466" s="11"/>
      <c r="B466" s="12" t="s">
        <v>155</v>
      </c>
      <c r="C466" s="12" t="s">
        <v>1234</v>
      </c>
      <c r="D466" s="12" t="s">
        <v>1791</v>
      </c>
      <c r="E466" s="14">
        <v>75</v>
      </c>
      <c r="F466" s="23">
        <v>0.54</v>
      </c>
      <c r="G466" s="14">
        <v>0</v>
      </c>
      <c r="H466" s="25" t="s">
        <v>1615</v>
      </c>
      <c r="I466" s="12"/>
    </row>
    <row r="467" spans="1:9" x14ac:dyDescent="0.3">
      <c r="A467" s="11"/>
      <c r="B467" s="12" t="s">
        <v>155</v>
      </c>
      <c r="C467" s="12" t="s">
        <v>1235</v>
      </c>
      <c r="D467" s="12" t="s">
        <v>1791</v>
      </c>
      <c r="E467" s="14">
        <v>37.5</v>
      </c>
      <c r="F467" s="23">
        <v>0.61</v>
      </c>
      <c r="G467" s="14">
        <v>0</v>
      </c>
      <c r="H467" s="25" t="s">
        <v>1615</v>
      </c>
      <c r="I467" s="12"/>
    </row>
    <row r="468" spans="1:9" x14ac:dyDescent="0.3">
      <c r="A468" s="11"/>
      <c r="B468" s="12" t="s">
        <v>155</v>
      </c>
      <c r="C468" s="12" t="s">
        <v>1236</v>
      </c>
      <c r="D468" s="12" t="s">
        <v>1792</v>
      </c>
      <c r="E468" s="14">
        <v>150</v>
      </c>
      <c r="F468" s="23">
        <v>0.7</v>
      </c>
      <c r="G468" s="14">
        <v>0</v>
      </c>
      <c r="H468" s="25" t="s">
        <v>1615</v>
      </c>
      <c r="I468" s="12"/>
    </row>
    <row r="469" spans="1:9" x14ac:dyDescent="0.3">
      <c r="A469" s="11"/>
      <c r="B469" s="12" t="s">
        <v>155</v>
      </c>
      <c r="C469" s="12" t="s">
        <v>1237</v>
      </c>
      <c r="D469" s="12" t="s">
        <v>1790</v>
      </c>
      <c r="E469" s="14">
        <v>75</v>
      </c>
      <c r="F469" s="23">
        <v>0.74</v>
      </c>
      <c r="G469" s="14">
        <v>0</v>
      </c>
      <c r="H469" s="25" t="s">
        <v>1615</v>
      </c>
      <c r="I469" s="12"/>
    </row>
    <row r="470" spans="1:9" x14ac:dyDescent="0.3">
      <c r="A470" s="11"/>
      <c r="B470" s="12" t="s">
        <v>155</v>
      </c>
      <c r="C470" s="12" t="s">
        <v>1238</v>
      </c>
      <c r="D470" s="12" t="s">
        <v>1787</v>
      </c>
      <c r="E470" s="14">
        <v>75</v>
      </c>
      <c r="F470" s="23">
        <v>0.65</v>
      </c>
      <c r="G470" s="14">
        <v>0</v>
      </c>
      <c r="H470" s="25" t="s">
        <v>1615</v>
      </c>
      <c r="I470" s="12"/>
    </row>
    <row r="471" spans="1:9" x14ac:dyDescent="0.3">
      <c r="A471" s="11"/>
      <c r="B471" s="12" t="s">
        <v>156</v>
      </c>
      <c r="C471" s="12" t="s">
        <v>1239</v>
      </c>
      <c r="D471" s="12" t="s">
        <v>1617</v>
      </c>
      <c r="E471" s="14">
        <v>160</v>
      </c>
      <c r="F471" s="23">
        <v>0.64</v>
      </c>
      <c r="G471" s="14">
        <v>0</v>
      </c>
      <c r="H471" s="25" t="s">
        <v>1615</v>
      </c>
      <c r="I471" s="12"/>
    </row>
    <row r="472" spans="1:9" x14ac:dyDescent="0.3">
      <c r="A472" s="11"/>
      <c r="B472" s="12" t="s">
        <v>156</v>
      </c>
      <c r="C472" s="12" t="s">
        <v>1240</v>
      </c>
      <c r="D472" s="12" t="s">
        <v>1793</v>
      </c>
      <c r="E472" s="14">
        <v>160</v>
      </c>
      <c r="F472" s="23">
        <v>0.65</v>
      </c>
      <c r="G472" s="14">
        <v>0</v>
      </c>
      <c r="H472" s="25" t="s">
        <v>1615</v>
      </c>
      <c r="I472" s="12"/>
    </row>
    <row r="473" spans="1:9" x14ac:dyDescent="0.3">
      <c r="A473" s="11"/>
      <c r="B473" s="12" t="s">
        <v>151</v>
      </c>
      <c r="C473" s="12" t="s">
        <v>1241</v>
      </c>
      <c r="D473" s="12" t="s">
        <v>1794</v>
      </c>
      <c r="E473" s="14">
        <v>250</v>
      </c>
      <c r="F473" s="23">
        <v>0.65</v>
      </c>
      <c r="G473" s="14">
        <v>48.03</v>
      </c>
      <c r="H473" s="25" t="s">
        <v>1615</v>
      </c>
      <c r="I473" s="12"/>
    </row>
    <row r="474" spans="1:9" x14ac:dyDescent="0.3">
      <c r="A474" s="11"/>
      <c r="B474" s="12" t="s">
        <v>151</v>
      </c>
      <c r="C474" s="12" t="s">
        <v>1242</v>
      </c>
      <c r="D474" s="12" t="s">
        <v>1795</v>
      </c>
      <c r="E474" s="14">
        <v>225</v>
      </c>
      <c r="F474" s="23">
        <v>0.6</v>
      </c>
      <c r="G474" s="14">
        <v>74.7</v>
      </c>
      <c r="H474" s="25" t="s">
        <v>1615</v>
      </c>
      <c r="I474" s="12"/>
    </row>
    <row r="475" spans="1:9" x14ac:dyDescent="0.3">
      <c r="A475" s="11"/>
      <c r="B475" s="12" t="s">
        <v>156</v>
      </c>
      <c r="C475" s="12" t="s">
        <v>1243</v>
      </c>
      <c r="D475" s="12" t="s">
        <v>1796</v>
      </c>
      <c r="E475" s="14">
        <v>100</v>
      </c>
      <c r="F475" s="23">
        <v>0.59</v>
      </c>
      <c r="G475" s="14">
        <v>0</v>
      </c>
      <c r="H475" s="25" t="s">
        <v>1615</v>
      </c>
      <c r="I475" s="12"/>
    </row>
    <row r="476" spans="1:9" x14ac:dyDescent="0.3">
      <c r="A476" s="11"/>
      <c r="B476" s="12" t="s">
        <v>156</v>
      </c>
      <c r="C476" s="12" t="s">
        <v>1244</v>
      </c>
      <c r="D476" s="12" t="s">
        <v>1797</v>
      </c>
      <c r="E476" s="14">
        <v>100</v>
      </c>
      <c r="F476" s="23">
        <v>0.51</v>
      </c>
      <c r="G476" s="14">
        <v>0</v>
      </c>
      <c r="H476" s="25" t="s">
        <v>1615</v>
      </c>
      <c r="I476" s="12"/>
    </row>
    <row r="477" spans="1:9" x14ac:dyDescent="0.3">
      <c r="A477" s="11"/>
      <c r="B477" s="12" t="s">
        <v>156</v>
      </c>
      <c r="C477" s="12" t="s">
        <v>1245</v>
      </c>
      <c r="D477" s="12" t="s">
        <v>1797</v>
      </c>
      <c r="E477" s="14">
        <v>37.5</v>
      </c>
      <c r="F477" s="23">
        <v>0.6</v>
      </c>
      <c r="G477" s="14">
        <v>0</v>
      </c>
      <c r="H477" s="25" t="s">
        <v>1615</v>
      </c>
      <c r="I477" s="12"/>
    </row>
    <row r="478" spans="1:9" x14ac:dyDescent="0.3">
      <c r="A478" s="11"/>
      <c r="B478" s="12" t="s">
        <v>156</v>
      </c>
      <c r="C478" s="12" t="s">
        <v>1246</v>
      </c>
      <c r="D478" s="12" t="s">
        <v>1796</v>
      </c>
      <c r="E478" s="14">
        <v>100</v>
      </c>
      <c r="F478" s="23">
        <v>0.7</v>
      </c>
      <c r="G478" s="14">
        <v>0</v>
      </c>
      <c r="H478" s="25" t="s">
        <v>1615</v>
      </c>
      <c r="I478" s="12"/>
    </row>
    <row r="479" spans="1:9" x14ac:dyDescent="0.3">
      <c r="A479" s="11"/>
      <c r="B479" s="12" t="s">
        <v>156</v>
      </c>
      <c r="C479" s="12" t="s">
        <v>1247</v>
      </c>
      <c r="D479" s="12" t="s">
        <v>1798</v>
      </c>
      <c r="E479" s="14">
        <v>50</v>
      </c>
      <c r="F479" s="23">
        <v>0.74</v>
      </c>
      <c r="G479" s="14">
        <v>0</v>
      </c>
      <c r="H479" s="25" t="s">
        <v>1615</v>
      </c>
      <c r="I479" s="12"/>
    </row>
    <row r="480" spans="1:9" x14ac:dyDescent="0.3">
      <c r="A480" s="11"/>
      <c r="B480" s="12" t="s">
        <v>156</v>
      </c>
      <c r="C480" s="12" t="s">
        <v>1248</v>
      </c>
      <c r="D480" s="12" t="s">
        <v>1796</v>
      </c>
      <c r="E480" s="14">
        <v>75</v>
      </c>
      <c r="F480" s="23">
        <v>0.71</v>
      </c>
      <c r="G480" s="14">
        <v>0</v>
      </c>
      <c r="H480" s="25" t="s">
        <v>1615</v>
      </c>
      <c r="I480" s="12"/>
    </row>
    <row r="481" spans="1:9" x14ac:dyDescent="0.3">
      <c r="A481" s="11"/>
      <c r="B481" s="12" t="s">
        <v>156</v>
      </c>
      <c r="C481" s="12" t="s">
        <v>1249</v>
      </c>
      <c r="D481" s="12" t="s">
        <v>1799</v>
      </c>
      <c r="E481" s="14">
        <v>320</v>
      </c>
      <c r="F481" s="23">
        <v>0.61</v>
      </c>
      <c r="G481" s="14">
        <v>3.24</v>
      </c>
      <c r="H481" s="25" t="s">
        <v>1615</v>
      </c>
      <c r="I481" s="12"/>
    </row>
    <row r="482" spans="1:9" x14ac:dyDescent="0.3">
      <c r="A482" s="11"/>
      <c r="B482" s="12" t="s">
        <v>156</v>
      </c>
      <c r="C482" s="12" t="s">
        <v>1250</v>
      </c>
      <c r="D482" s="12" t="s">
        <v>1800</v>
      </c>
      <c r="E482" s="14">
        <v>150</v>
      </c>
      <c r="F482" s="23">
        <v>0.69</v>
      </c>
      <c r="G482" s="14">
        <v>0</v>
      </c>
      <c r="H482" s="25" t="s">
        <v>1615</v>
      </c>
      <c r="I482" s="12"/>
    </row>
    <row r="483" spans="1:9" x14ac:dyDescent="0.3">
      <c r="A483" s="11"/>
      <c r="B483" s="12" t="s">
        <v>156</v>
      </c>
      <c r="C483" s="12" t="s">
        <v>1251</v>
      </c>
      <c r="D483" s="12" t="s">
        <v>1801</v>
      </c>
      <c r="E483" s="14">
        <v>150</v>
      </c>
      <c r="F483" s="23">
        <v>0.68</v>
      </c>
      <c r="G483" s="14">
        <v>0</v>
      </c>
      <c r="H483" s="25" t="s">
        <v>1615</v>
      </c>
      <c r="I483" s="12"/>
    </row>
    <row r="484" spans="1:9" x14ac:dyDescent="0.3">
      <c r="A484" s="11"/>
      <c r="B484" s="12" t="s">
        <v>156</v>
      </c>
      <c r="C484" s="12" t="s">
        <v>1252</v>
      </c>
      <c r="D484" s="12" t="s">
        <v>1802</v>
      </c>
      <c r="E484" s="14">
        <v>300</v>
      </c>
      <c r="F484" s="23">
        <v>0.65</v>
      </c>
      <c r="G484" s="14">
        <v>0</v>
      </c>
      <c r="H484" s="25" t="s">
        <v>1615</v>
      </c>
      <c r="I484" s="12"/>
    </row>
    <row r="485" spans="1:9" x14ac:dyDescent="0.3">
      <c r="A485" s="11"/>
      <c r="B485" s="12" t="s">
        <v>156</v>
      </c>
      <c r="C485" s="12" t="s">
        <v>1253</v>
      </c>
      <c r="D485" s="12" t="s">
        <v>1803</v>
      </c>
      <c r="E485" s="14">
        <v>150</v>
      </c>
      <c r="F485" s="23">
        <v>0.73</v>
      </c>
      <c r="G485" s="14">
        <v>0</v>
      </c>
      <c r="H485" s="25" t="s">
        <v>1615</v>
      </c>
      <c r="I485" s="12"/>
    </row>
    <row r="486" spans="1:9" x14ac:dyDescent="0.3">
      <c r="A486" s="11"/>
      <c r="B486" s="12" t="s">
        <v>156</v>
      </c>
      <c r="C486" s="12" t="s">
        <v>1254</v>
      </c>
      <c r="D486" s="12" t="s">
        <v>1804</v>
      </c>
      <c r="E486" s="14">
        <v>320</v>
      </c>
      <c r="F486" s="23">
        <v>0.69</v>
      </c>
      <c r="G486" s="14">
        <v>0</v>
      </c>
      <c r="H486" s="25" t="s">
        <v>1615</v>
      </c>
      <c r="I486" s="12"/>
    </row>
    <row r="487" spans="1:9" x14ac:dyDescent="0.3">
      <c r="A487" s="11"/>
      <c r="B487" s="12" t="s">
        <v>156</v>
      </c>
      <c r="C487" s="12" t="s">
        <v>1255</v>
      </c>
      <c r="D487" s="12" t="s">
        <v>1805</v>
      </c>
      <c r="E487" s="14">
        <v>150</v>
      </c>
      <c r="F487" s="23">
        <v>0.48</v>
      </c>
      <c r="G487" s="14">
        <v>0</v>
      </c>
      <c r="H487" s="25" t="s">
        <v>1615</v>
      </c>
      <c r="I487" s="12"/>
    </row>
    <row r="488" spans="1:9" x14ac:dyDescent="0.3">
      <c r="A488" s="11"/>
      <c r="B488" s="12" t="s">
        <v>156</v>
      </c>
      <c r="C488" s="12" t="s">
        <v>1256</v>
      </c>
      <c r="D488" s="12" t="s">
        <v>1806</v>
      </c>
      <c r="E488" s="14">
        <v>200</v>
      </c>
      <c r="F488" s="23">
        <v>0.72</v>
      </c>
      <c r="G488" s="14">
        <v>0</v>
      </c>
      <c r="H488" s="25" t="s">
        <v>1615</v>
      </c>
      <c r="I488" s="12"/>
    </row>
    <row r="489" spans="1:9" x14ac:dyDescent="0.3">
      <c r="A489" s="11"/>
      <c r="B489" s="12" t="s">
        <v>156</v>
      </c>
      <c r="C489" s="12" t="s">
        <v>1257</v>
      </c>
      <c r="D489" s="12" t="s">
        <v>1807</v>
      </c>
      <c r="E489" s="14">
        <v>150</v>
      </c>
      <c r="F489" s="23">
        <v>0.45</v>
      </c>
      <c r="G489" s="14">
        <v>0</v>
      </c>
      <c r="H489" s="25" t="s">
        <v>1615</v>
      </c>
      <c r="I489" s="12"/>
    </row>
    <row r="490" spans="1:9" x14ac:dyDescent="0.3">
      <c r="A490" s="11"/>
      <c r="B490" s="12" t="s">
        <v>156</v>
      </c>
      <c r="C490" s="12" t="s">
        <v>1258</v>
      </c>
      <c r="D490" s="12" t="s">
        <v>1808</v>
      </c>
      <c r="E490" s="14">
        <v>75</v>
      </c>
      <c r="F490" s="23">
        <v>0.59</v>
      </c>
      <c r="G490" s="14">
        <v>0</v>
      </c>
      <c r="H490" s="25" t="s">
        <v>1615</v>
      </c>
      <c r="I490" s="12"/>
    </row>
    <row r="491" spans="1:9" x14ac:dyDescent="0.3">
      <c r="A491" s="11"/>
      <c r="B491" s="12" t="s">
        <v>156</v>
      </c>
      <c r="C491" s="12" t="s">
        <v>1259</v>
      </c>
      <c r="D491" s="12" t="s">
        <v>1806</v>
      </c>
      <c r="E491" s="14">
        <v>100</v>
      </c>
      <c r="F491" s="23">
        <v>0.61</v>
      </c>
      <c r="G491" s="14">
        <v>0</v>
      </c>
      <c r="H491" s="25" t="s">
        <v>1615</v>
      </c>
      <c r="I491" s="12"/>
    </row>
    <row r="492" spans="1:9" x14ac:dyDescent="0.3">
      <c r="A492" s="11"/>
      <c r="B492" s="12" t="s">
        <v>156</v>
      </c>
      <c r="C492" s="12" t="s">
        <v>1260</v>
      </c>
      <c r="D492" s="12" t="s">
        <v>1809</v>
      </c>
      <c r="E492" s="14">
        <v>100</v>
      </c>
      <c r="F492" s="23">
        <v>0.5</v>
      </c>
      <c r="G492" s="14">
        <v>0</v>
      </c>
      <c r="H492" s="25" t="s">
        <v>1615</v>
      </c>
      <c r="I492" s="12"/>
    </row>
    <row r="493" spans="1:9" x14ac:dyDescent="0.3">
      <c r="A493" s="11"/>
      <c r="B493" s="12" t="s">
        <v>156</v>
      </c>
      <c r="C493" s="12" t="s">
        <v>1261</v>
      </c>
      <c r="D493" s="12" t="s">
        <v>1806</v>
      </c>
      <c r="E493" s="14">
        <v>75</v>
      </c>
      <c r="F493" s="23">
        <v>0.46</v>
      </c>
      <c r="G493" s="14">
        <v>0</v>
      </c>
      <c r="H493" s="25" t="s">
        <v>1615</v>
      </c>
      <c r="I493" s="12"/>
    </row>
    <row r="494" spans="1:9" x14ac:dyDescent="0.3">
      <c r="A494" s="11"/>
      <c r="B494" s="12" t="s">
        <v>156</v>
      </c>
      <c r="C494" s="12" t="s">
        <v>1262</v>
      </c>
      <c r="D494" s="12" t="s">
        <v>1806</v>
      </c>
      <c r="E494" s="14">
        <v>100</v>
      </c>
      <c r="F494" s="23">
        <v>0.53</v>
      </c>
      <c r="G494" s="14">
        <v>0</v>
      </c>
      <c r="H494" s="25" t="s">
        <v>1615</v>
      </c>
      <c r="I494" s="12"/>
    </row>
    <row r="495" spans="1:9" x14ac:dyDescent="0.3">
      <c r="A495" s="11"/>
      <c r="B495" s="12" t="s">
        <v>154</v>
      </c>
      <c r="C495" s="12" t="s">
        <v>1263</v>
      </c>
      <c r="D495" s="12" t="s">
        <v>1720</v>
      </c>
      <c r="E495" s="14">
        <v>150</v>
      </c>
      <c r="F495" s="23">
        <v>0.73</v>
      </c>
      <c r="G495" s="14">
        <v>0</v>
      </c>
      <c r="H495" s="25" t="s">
        <v>1615</v>
      </c>
      <c r="I495" s="12"/>
    </row>
    <row r="496" spans="1:9" x14ac:dyDescent="0.3">
      <c r="A496" s="11"/>
      <c r="B496" s="12" t="s">
        <v>156</v>
      </c>
      <c r="C496" s="12" t="s">
        <v>1264</v>
      </c>
      <c r="D496" s="12" t="s">
        <v>1799</v>
      </c>
      <c r="E496" s="14">
        <v>100</v>
      </c>
      <c r="F496" s="23">
        <v>0.45</v>
      </c>
      <c r="G496" s="14">
        <v>0</v>
      </c>
      <c r="H496" s="25" t="s">
        <v>1615</v>
      </c>
      <c r="I496" s="12"/>
    </row>
    <row r="497" spans="1:9" x14ac:dyDescent="0.3">
      <c r="A497" s="11"/>
      <c r="B497" s="12" t="s">
        <v>156</v>
      </c>
      <c r="C497" s="12" t="s">
        <v>1265</v>
      </c>
      <c r="D497" s="12" t="s">
        <v>1806</v>
      </c>
      <c r="E497" s="14">
        <v>200</v>
      </c>
      <c r="F497" s="23">
        <v>0.57999999999999996</v>
      </c>
      <c r="G497" s="14">
        <v>0</v>
      </c>
      <c r="H497" s="25" t="s">
        <v>1615</v>
      </c>
      <c r="I497" s="12"/>
    </row>
    <row r="498" spans="1:9" x14ac:dyDescent="0.3">
      <c r="A498" s="11"/>
      <c r="B498" s="12" t="s">
        <v>156</v>
      </c>
      <c r="C498" s="12" t="s">
        <v>1266</v>
      </c>
      <c r="D498" s="12" t="s">
        <v>1806</v>
      </c>
      <c r="E498" s="14">
        <v>75</v>
      </c>
      <c r="F498" s="23">
        <v>0.66</v>
      </c>
      <c r="G498" s="14">
        <v>0</v>
      </c>
      <c r="H498" s="25" t="s">
        <v>1615</v>
      </c>
      <c r="I498" s="12"/>
    </row>
    <row r="499" spans="1:9" x14ac:dyDescent="0.3">
      <c r="A499" s="11"/>
      <c r="B499" s="12" t="s">
        <v>156</v>
      </c>
      <c r="C499" s="12" t="s">
        <v>1267</v>
      </c>
      <c r="D499" s="12" t="s">
        <v>1806</v>
      </c>
      <c r="E499" s="14">
        <v>112.5</v>
      </c>
      <c r="F499" s="23">
        <v>0.54</v>
      </c>
      <c r="G499" s="14">
        <v>0</v>
      </c>
      <c r="H499" s="25" t="s">
        <v>1615</v>
      </c>
      <c r="I499" s="12"/>
    </row>
    <row r="500" spans="1:9" x14ac:dyDescent="0.3">
      <c r="A500" s="11"/>
      <c r="B500" s="12" t="s">
        <v>156</v>
      </c>
      <c r="C500" s="12" t="s">
        <v>1268</v>
      </c>
      <c r="D500" s="12" t="s">
        <v>1806</v>
      </c>
      <c r="E500" s="14">
        <v>75</v>
      </c>
      <c r="F500" s="23">
        <v>0.73</v>
      </c>
      <c r="G500" s="14">
        <v>0</v>
      </c>
      <c r="H500" s="25" t="s">
        <v>1615</v>
      </c>
      <c r="I500" s="12"/>
    </row>
    <row r="501" spans="1:9" x14ac:dyDescent="0.3">
      <c r="A501" s="11"/>
      <c r="B501" s="12" t="s">
        <v>156</v>
      </c>
      <c r="C501" s="12" t="s">
        <v>1269</v>
      </c>
      <c r="D501" s="12" t="s">
        <v>1810</v>
      </c>
      <c r="E501" s="14">
        <v>100</v>
      </c>
      <c r="F501" s="23">
        <v>0.56000000000000005</v>
      </c>
      <c r="G501" s="14">
        <v>0</v>
      </c>
      <c r="H501" s="25" t="s">
        <v>1615</v>
      </c>
      <c r="I501" s="12"/>
    </row>
    <row r="502" spans="1:9" x14ac:dyDescent="0.3">
      <c r="A502" s="11"/>
      <c r="B502" s="12" t="s">
        <v>156</v>
      </c>
      <c r="C502" s="12" t="s">
        <v>1270</v>
      </c>
      <c r="D502" s="12" t="s">
        <v>1799</v>
      </c>
      <c r="E502" s="14">
        <v>100</v>
      </c>
      <c r="F502" s="23">
        <v>0.49</v>
      </c>
      <c r="G502" s="14">
        <v>0</v>
      </c>
      <c r="H502" s="25" t="s">
        <v>1615</v>
      </c>
      <c r="I502" s="12"/>
    </row>
    <row r="503" spans="1:9" x14ac:dyDescent="0.3">
      <c r="A503" s="11"/>
      <c r="B503" s="12" t="s">
        <v>156</v>
      </c>
      <c r="C503" s="12" t="s">
        <v>1271</v>
      </c>
      <c r="D503" s="12" t="s">
        <v>1799</v>
      </c>
      <c r="E503" s="14">
        <v>75</v>
      </c>
      <c r="F503" s="23">
        <v>0.75</v>
      </c>
      <c r="G503" s="14">
        <v>0</v>
      </c>
      <c r="H503" s="25" t="s">
        <v>1615</v>
      </c>
      <c r="I503" s="12"/>
    </row>
    <row r="504" spans="1:9" x14ac:dyDescent="0.3">
      <c r="A504" s="11"/>
      <c r="B504" s="12" t="s">
        <v>156</v>
      </c>
      <c r="C504" s="12" t="s">
        <v>1272</v>
      </c>
      <c r="D504" s="12" t="s">
        <v>1811</v>
      </c>
      <c r="E504" s="14">
        <v>225</v>
      </c>
      <c r="F504" s="23">
        <v>0.68</v>
      </c>
      <c r="G504" s="14">
        <v>139.5</v>
      </c>
      <c r="H504" s="25" t="s">
        <v>1615</v>
      </c>
      <c r="I504" s="12"/>
    </row>
    <row r="505" spans="1:9" x14ac:dyDescent="0.3">
      <c r="A505" s="11"/>
      <c r="B505" s="12" t="s">
        <v>156</v>
      </c>
      <c r="C505" s="12" t="s">
        <v>1273</v>
      </c>
      <c r="D505" s="12" t="s">
        <v>1811</v>
      </c>
      <c r="E505" s="14">
        <v>112.5</v>
      </c>
      <c r="F505" s="23">
        <v>0.5</v>
      </c>
      <c r="G505" s="14">
        <v>0</v>
      </c>
      <c r="H505" s="25" t="s">
        <v>1615</v>
      </c>
      <c r="I505" s="12"/>
    </row>
    <row r="506" spans="1:9" x14ac:dyDescent="0.3">
      <c r="A506" s="11"/>
      <c r="B506" s="12" t="s">
        <v>156</v>
      </c>
      <c r="C506" s="12" t="s">
        <v>1274</v>
      </c>
      <c r="D506" s="12" t="s">
        <v>1811</v>
      </c>
      <c r="E506" s="14">
        <v>100</v>
      </c>
      <c r="F506" s="23">
        <v>0.54</v>
      </c>
      <c r="G506" s="14">
        <v>0</v>
      </c>
      <c r="H506" s="25" t="s">
        <v>1615</v>
      </c>
      <c r="I506" s="12"/>
    </row>
    <row r="507" spans="1:9" x14ac:dyDescent="0.3">
      <c r="A507" s="11"/>
      <c r="B507" s="12" t="s">
        <v>156</v>
      </c>
      <c r="C507" s="12" t="s">
        <v>1275</v>
      </c>
      <c r="D507" s="12" t="s">
        <v>1811</v>
      </c>
      <c r="E507" s="14">
        <v>100</v>
      </c>
      <c r="F507" s="23">
        <v>0.6</v>
      </c>
      <c r="G507" s="14">
        <v>0</v>
      </c>
      <c r="H507" s="25" t="s">
        <v>1615</v>
      </c>
      <c r="I507" s="12"/>
    </row>
    <row r="508" spans="1:9" x14ac:dyDescent="0.3">
      <c r="A508" s="11"/>
      <c r="B508" s="12" t="s">
        <v>156</v>
      </c>
      <c r="C508" s="12" t="s">
        <v>1276</v>
      </c>
      <c r="D508" s="12" t="s">
        <v>1811</v>
      </c>
      <c r="E508" s="14">
        <v>100</v>
      </c>
      <c r="F508" s="23">
        <v>0.71</v>
      </c>
      <c r="G508" s="14">
        <v>0</v>
      </c>
      <c r="H508" s="25" t="s">
        <v>1615</v>
      </c>
      <c r="I508" s="12"/>
    </row>
    <row r="509" spans="1:9" x14ac:dyDescent="0.3">
      <c r="A509" s="11"/>
      <c r="B509" s="12" t="s">
        <v>156</v>
      </c>
      <c r="C509" s="12" t="s">
        <v>1277</v>
      </c>
      <c r="D509" s="12" t="s">
        <v>1811</v>
      </c>
      <c r="E509" s="14">
        <v>100</v>
      </c>
      <c r="F509" s="23">
        <v>0.62</v>
      </c>
      <c r="G509" s="14">
        <v>0</v>
      </c>
      <c r="H509" s="25" t="s">
        <v>1615</v>
      </c>
      <c r="I509" s="12"/>
    </row>
    <row r="510" spans="1:9" x14ac:dyDescent="0.3">
      <c r="A510" s="11"/>
      <c r="B510" s="12" t="s">
        <v>156</v>
      </c>
      <c r="C510" s="12" t="s">
        <v>1278</v>
      </c>
      <c r="D510" s="12" t="s">
        <v>1811</v>
      </c>
      <c r="E510" s="14">
        <v>250</v>
      </c>
      <c r="F510" s="23">
        <v>0.68</v>
      </c>
      <c r="G510" s="14">
        <v>0</v>
      </c>
      <c r="H510" s="25" t="s">
        <v>1615</v>
      </c>
      <c r="I510" s="12"/>
    </row>
    <row r="511" spans="1:9" x14ac:dyDescent="0.3">
      <c r="A511" s="11"/>
      <c r="B511" s="12" t="s">
        <v>156</v>
      </c>
      <c r="C511" s="12" t="s">
        <v>1279</v>
      </c>
      <c r="D511" s="12" t="s">
        <v>1811</v>
      </c>
      <c r="E511" s="14">
        <v>250</v>
      </c>
      <c r="F511" s="23">
        <v>0.51</v>
      </c>
      <c r="G511" s="14">
        <v>50.4</v>
      </c>
      <c r="H511" s="25" t="s">
        <v>1615</v>
      </c>
      <c r="I511" s="12"/>
    </row>
    <row r="512" spans="1:9" x14ac:dyDescent="0.3">
      <c r="A512" s="11"/>
      <c r="B512" s="12" t="s">
        <v>156</v>
      </c>
      <c r="C512" s="12" t="s">
        <v>1280</v>
      </c>
      <c r="D512" s="12" t="s">
        <v>1811</v>
      </c>
      <c r="E512" s="14">
        <v>112.5</v>
      </c>
      <c r="F512" s="23">
        <v>0.57999999999999996</v>
      </c>
      <c r="G512" s="14">
        <v>0</v>
      </c>
      <c r="H512" s="25" t="s">
        <v>1615</v>
      </c>
      <c r="I512" s="12"/>
    </row>
    <row r="513" spans="1:9" x14ac:dyDescent="0.3">
      <c r="A513" s="11"/>
      <c r="B513" s="12" t="s">
        <v>156</v>
      </c>
      <c r="C513" s="12" t="s">
        <v>1281</v>
      </c>
      <c r="D513" s="12" t="s">
        <v>1811</v>
      </c>
      <c r="E513" s="14">
        <v>150</v>
      </c>
      <c r="F513" s="23">
        <v>0.59</v>
      </c>
      <c r="G513" s="14">
        <v>0</v>
      </c>
      <c r="H513" s="25" t="s">
        <v>1615</v>
      </c>
      <c r="I513" s="12"/>
    </row>
    <row r="514" spans="1:9" x14ac:dyDescent="0.3">
      <c r="A514" s="11"/>
      <c r="B514" s="12" t="s">
        <v>156</v>
      </c>
      <c r="C514" s="12" t="s">
        <v>1282</v>
      </c>
      <c r="D514" s="12" t="s">
        <v>1811</v>
      </c>
      <c r="E514" s="14">
        <v>50</v>
      </c>
      <c r="F514" s="23">
        <v>0.48</v>
      </c>
      <c r="G514" s="14">
        <v>0</v>
      </c>
      <c r="H514" s="25" t="s">
        <v>1615</v>
      </c>
      <c r="I514" s="12"/>
    </row>
    <row r="515" spans="1:9" x14ac:dyDescent="0.3">
      <c r="A515" s="11"/>
      <c r="B515" s="12" t="s">
        <v>156</v>
      </c>
      <c r="C515" s="12" t="s">
        <v>1283</v>
      </c>
      <c r="D515" s="12" t="s">
        <v>1811</v>
      </c>
      <c r="E515" s="14">
        <v>100</v>
      </c>
      <c r="F515" s="23">
        <v>0.48</v>
      </c>
      <c r="G515" s="14">
        <v>0</v>
      </c>
      <c r="H515" s="25" t="s">
        <v>1615</v>
      </c>
      <c r="I515" s="12"/>
    </row>
    <row r="516" spans="1:9" x14ac:dyDescent="0.3">
      <c r="A516" s="11"/>
      <c r="B516" s="12" t="s">
        <v>156</v>
      </c>
      <c r="C516" s="12" t="s">
        <v>1284</v>
      </c>
      <c r="D516" s="12" t="s">
        <v>1811</v>
      </c>
      <c r="E516" s="14">
        <v>175</v>
      </c>
      <c r="F516" s="23">
        <v>0.48</v>
      </c>
      <c r="G516" s="14">
        <v>0</v>
      </c>
      <c r="H516" s="25" t="s">
        <v>1615</v>
      </c>
      <c r="I516" s="12"/>
    </row>
    <row r="517" spans="1:9" x14ac:dyDescent="0.3">
      <c r="A517" s="11"/>
      <c r="B517" s="12" t="s">
        <v>156</v>
      </c>
      <c r="C517" s="12" t="s">
        <v>1285</v>
      </c>
      <c r="D517" s="12" t="s">
        <v>1811</v>
      </c>
      <c r="E517" s="14">
        <v>150</v>
      </c>
      <c r="F517" s="23">
        <v>0.46</v>
      </c>
      <c r="G517" s="14">
        <v>0</v>
      </c>
      <c r="H517" s="25" t="s">
        <v>1615</v>
      </c>
      <c r="I517" s="12"/>
    </row>
    <row r="518" spans="1:9" x14ac:dyDescent="0.3">
      <c r="A518" s="11"/>
      <c r="B518" s="12" t="s">
        <v>156</v>
      </c>
      <c r="C518" s="12" t="s">
        <v>1286</v>
      </c>
      <c r="D518" s="12" t="s">
        <v>1625</v>
      </c>
      <c r="E518" s="14">
        <v>100</v>
      </c>
      <c r="F518" s="23">
        <v>0.62</v>
      </c>
      <c r="G518" s="14">
        <v>0</v>
      </c>
      <c r="H518" s="25" t="s">
        <v>1615</v>
      </c>
      <c r="I518" s="12"/>
    </row>
    <row r="519" spans="1:9" x14ac:dyDescent="0.3">
      <c r="A519" s="11"/>
      <c r="B519" s="12" t="s">
        <v>156</v>
      </c>
      <c r="C519" s="12" t="s">
        <v>1287</v>
      </c>
      <c r="D519" s="12" t="s">
        <v>1625</v>
      </c>
      <c r="E519" s="14">
        <v>75</v>
      </c>
      <c r="F519" s="23">
        <v>0.61</v>
      </c>
      <c r="G519" s="14">
        <v>0</v>
      </c>
      <c r="H519" s="25" t="s">
        <v>1615</v>
      </c>
      <c r="I519" s="12"/>
    </row>
    <row r="520" spans="1:9" x14ac:dyDescent="0.3">
      <c r="A520" s="11"/>
      <c r="B520" s="12" t="s">
        <v>156</v>
      </c>
      <c r="C520" s="12" t="s">
        <v>1288</v>
      </c>
      <c r="D520" s="12" t="s">
        <v>1625</v>
      </c>
      <c r="E520" s="14">
        <v>100</v>
      </c>
      <c r="F520" s="23">
        <v>0.64</v>
      </c>
      <c r="G520" s="14">
        <v>0</v>
      </c>
      <c r="H520" s="25" t="s">
        <v>1615</v>
      </c>
      <c r="I520" s="12"/>
    </row>
    <row r="521" spans="1:9" x14ac:dyDescent="0.3">
      <c r="A521" s="11"/>
      <c r="B521" s="12" t="s">
        <v>156</v>
      </c>
      <c r="C521" s="12" t="s">
        <v>1289</v>
      </c>
      <c r="D521" s="12" t="s">
        <v>1625</v>
      </c>
      <c r="E521" s="14">
        <v>100</v>
      </c>
      <c r="F521" s="23">
        <v>0.53</v>
      </c>
      <c r="G521" s="14">
        <v>0</v>
      </c>
      <c r="H521" s="25" t="s">
        <v>1615</v>
      </c>
      <c r="I521" s="12"/>
    </row>
    <row r="522" spans="1:9" x14ac:dyDescent="0.3">
      <c r="A522" s="11"/>
      <c r="B522" s="12" t="s">
        <v>156</v>
      </c>
      <c r="C522" s="12" t="s">
        <v>1290</v>
      </c>
      <c r="D522" s="12" t="s">
        <v>1625</v>
      </c>
      <c r="E522" s="14">
        <v>100</v>
      </c>
      <c r="F522" s="23">
        <v>0.47</v>
      </c>
      <c r="G522" s="14">
        <v>20.024999999999999</v>
      </c>
      <c r="H522" s="25" t="s">
        <v>1615</v>
      </c>
      <c r="I522" s="12"/>
    </row>
    <row r="523" spans="1:9" x14ac:dyDescent="0.3">
      <c r="A523" s="11"/>
      <c r="B523" s="12" t="s">
        <v>156</v>
      </c>
      <c r="C523" s="12" t="s">
        <v>1291</v>
      </c>
      <c r="D523" s="12" t="s">
        <v>1812</v>
      </c>
      <c r="E523" s="14">
        <v>100</v>
      </c>
      <c r="F523" s="23">
        <v>0.52</v>
      </c>
      <c r="G523" s="14">
        <v>0</v>
      </c>
      <c r="H523" s="25" t="s">
        <v>1615</v>
      </c>
      <c r="I523" s="12"/>
    </row>
    <row r="524" spans="1:9" x14ac:dyDescent="0.3">
      <c r="A524" s="11"/>
      <c r="B524" s="12" t="s">
        <v>156</v>
      </c>
      <c r="C524" s="12" t="s">
        <v>1292</v>
      </c>
      <c r="D524" s="12" t="s">
        <v>1812</v>
      </c>
      <c r="E524" s="14">
        <v>50</v>
      </c>
      <c r="F524" s="23">
        <v>0.68</v>
      </c>
      <c r="G524" s="14">
        <v>0</v>
      </c>
      <c r="H524" s="25" t="s">
        <v>1615</v>
      </c>
      <c r="I524" s="12"/>
    </row>
    <row r="525" spans="1:9" x14ac:dyDescent="0.3">
      <c r="A525" s="11"/>
      <c r="B525" s="12" t="s">
        <v>156</v>
      </c>
      <c r="C525" s="12" t="s">
        <v>1293</v>
      </c>
      <c r="D525" s="12" t="s">
        <v>1812</v>
      </c>
      <c r="E525" s="14">
        <v>112.5</v>
      </c>
      <c r="F525" s="23">
        <v>0.67</v>
      </c>
      <c r="G525" s="14">
        <v>0</v>
      </c>
      <c r="H525" s="25" t="s">
        <v>1615</v>
      </c>
      <c r="I525" s="12"/>
    </row>
    <row r="526" spans="1:9" x14ac:dyDescent="0.3">
      <c r="A526" s="11"/>
      <c r="B526" s="12" t="s">
        <v>156</v>
      </c>
      <c r="C526" s="12" t="s">
        <v>1294</v>
      </c>
      <c r="D526" s="12" t="s">
        <v>1625</v>
      </c>
      <c r="E526" s="14">
        <v>112.5</v>
      </c>
      <c r="F526" s="23">
        <v>0.63</v>
      </c>
      <c r="G526" s="14">
        <v>0</v>
      </c>
      <c r="H526" s="25" t="s">
        <v>1615</v>
      </c>
      <c r="I526" s="12"/>
    </row>
    <row r="527" spans="1:9" x14ac:dyDescent="0.3">
      <c r="A527" s="11"/>
      <c r="B527" s="12" t="s">
        <v>155</v>
      </c>
      <c r="C527" s="12" t="s">
        <v>1295</v>
      </c>
      <c r="D527" s="25" t="s">
        <v>1879</v>
      </c>
      <c r="E527" s="14">
        <v>200</v>
      </c>
      <c r="F527" s="23">
        <v>0.75</v>
      </c>
      <c r="G527" s="14">
        <v>3.96</v>
      </c>
      <c r="H527" s="25" t="s">
        <v>1615</v>
      </c>
      <c r="I527" s="12"/>
    </row>
    <row r="528" spans="1:9" x14ac:dyDescent="0.3">
      <c r="A528" s="11"/>
      <c r="B528" s="12" t="s">
        <v>155</v>
      </c>
      <c r="C528" s="12" t="s">
        <v>1296</v>
      </c>
      <c r="D528" s="12" t="s">
        <v>1813</v>
      </c>
      <c r="E528" s="14">
        <v>75</v>
      </c>
      <c r="F528" s="23">
        <v>0.47</v>
      </c>
      <c r="G528" s="14">
        <v>0</v>
      </c>
      <c r="H528" s="25" t="s">
        <v>1615</v>
      </c>
      <c r="I528" s="12"/>
    </row>
    <row r="529" spans="1:9" x14ac:dyDescent="0.3">
      <c r="A529" s="11"/>
      <c r="B529" s="12" t="s">
        <v>155</v>
      </c>
      <c r="C529" s="12" t="s">
        <v>1297</v>
      </c>
      <c r="D529" s="12" t="s">
        <v>1813</v>
      </c>
      <c r="E529" s="14">
        <v>75</v>
      </c>
      <c r="F529" s="23">
        <v>0.74</v>
      </c>
      <c r="G529" s="14">
        <v>0</v>
      </c>
      <c r="H529" s="25" t="s">
        <v>1615</v>
      </c>
      <c r="I529" s="12"/>
    </row>
    <row r="530" spans="1:9" x14ac:dyDescent="0.3">
      <c r="A530" s="11"/>
      <c r="B530" s="12" t="s">
        <v>155</v>
      </c>
      <c r="C530" s="12" t="s">
        <v>1298</v>
      </c>
      <c r="D530" s="12" t="s">
        <v>1813</v>
      </c>
      <c r="E530" s="14">
        <v>100</v>
      </c>
      <c r="F530" s="23">
        <v>0.63</v>
      </c>
      <c r="G530" s="14">
        <v>0</v>
      </c>
      <c r="H530" s="25" t="s">
        <v>1615</v>
      </c>
      <c r="I530" s="12"/>
    </row>
    <row r="531" spans="1:9" x14ac:dyDescent="0.3">
      <c r="A531" s="11"/>
      <c r="B531" s="12" t="s">
        <v>155</v>
      </c>
      <c r="C531" s="12" t="s">
        <v>1299</v>
      </c>
      <c r="D531" s="12" t="s">
        <v>1813</v>
      </c>
      <c r="E531" s="14">
        <v>75</v>
      </c>
      <c r="F531" s="23">
        <v>0.52</v>
      </c>
      <c r="G531" s="14">
        <v>0</v>
      </c>
      <c r="H531" s="25" t="s">
        <v>1615</v>
      </c>
      <c r="I531" s="12"/>
    </row>
    <row r="532" spans="1:9" x14ac:dyDescent="0.3">
      <c r="A532" s="11"/>
      <c r="B532" s="12" t="s">
        <v>155</v>
      </c>
      <c r="C532" s="12" t="s">
        <v>1300</v>
      </c>
      <c r="D532" s="12" t="s">
        <v>1813</v>
      </c>
      <c r="E532" s="14">
        <v>200</v>
      </c>
      <c r="F532" s="23">
        <v>0.59</v>
      </c>
      <c r="G532" s="14">
        <v>0</v>
      </c>
      <c r="H532" s="25" t="s">
        <v>1615</v>
      </c>
      <c r="I532" s="12"/>
    </row>
    <row r="533" spans="1:9" x14ac:dyDescent="0.3">
      <c r="A533" s="11"/>
      <c r="B533" s="12" t="s">
        <v>155</v>
      </c>
      <c r="C533" s="12" t="s">
        <v>1301</v>
      </c>
      <c r="D533" s="12" t="s">
        <v>1813</v>
      </c>
      <c r="E533" s="14">
        <v>200</v>
      </c>
      <c r="F533" s="23">
        <v>0.72</v>
      </c>
      <c r="G533" s="14">
        <v>0</v>
      </c>
      <c r="H533" s="25" t="s">
        <v>1615</v>
      </c>
      <c r="I533" s="12"/>
    </row>
    <row r="534" spans="1:9" x14ac:dyDescent="0.3">
      <c r="A534" s="11"/>
      <c r="B534" s="12" t="s">
        <v>155</v>
      </c>
      <c r="C534" s="12" t="s">
        <v>1302</v>
      </c>
      <c r="D534" s="12" t="s">
        <v>1813</v>
      </c>
      <c r="E534" s="14">
        <v>100</v>
      </c>
      <c r="F534" s="23">
        <v>0.65</v>
      </c>
      <c r="G534" s="14">
        <v>0</v>
      </c>
      <c r="H534" s="25" t="s">
        <v>1615</v>
      </c>
      <c r="I534" s="12"/>
    </row>
    <row r="535" spans="1:9" x14ac:dyDescent="0.3">
      <c r="A535" s="11"/>
      <c r="B535" s="12" t="s">
        <v>155</v>
      </c>
      <c r="C535" s="12" t="s">
        <v>1303</v>
      </c>
      <c r="D535" s="12" t="s">
        <v>1813</v>
      </c>
      <c r="E535" s="14">
        <v>300</v>
      </c>
      <c r="F535" s="23">
        <v>0.62</v>
      </c>
      <c r="G535" s="14">
        <v>0</v>
      </c>
      <c r="H535" s="25" t="s">
        <v>1615</v>
      </c>
      <c r="I535" s="12"/>
    </row>
    <row r="536" spans="1:9" x14ac:dyDescent="0.3">
      <c r="A536" s="11"/>
      <c r="B536" s="12" t="s">
        <v>155</v>
      </c>
      <c r="C536" s="12" t="s">
        <v>1304</v>
      </c>
      <c r="D536" s="12" t="s">
        <v>1637</v>
      </c>
      <c r="E536" s="14">
        <v>150</v>
      </c>
      <c r="F536" s="23">
        <v>0.7</v>
      </c>
      <c r="G536" s="14">
        <v>0</v>
      </c>
      <c r="H536" s="25" t="s">
        <v>1615</v>
      </c>
      <c r="I536" s="12"/>
    </row>
    <row r="537" spans="1:9" x14ac:dyDescent="0.3">
      <c r="A537" s="11"/>
      <c r="B537" s="12" t="s">
        <v>155</v>
      </c>
      <c r="C537" s="12" t="s">
        <v>1305</v>
      </c>
      <c r="D537" s="12" t="s">
        <v>1637</v>
      </c>
      <c r="E537" s="14">
        <v>150</v>
      </c>
      <c r="F537" s="23">
        <v>0.68</v>
      </c>
      <c r="G537" s="14">
        <v>12.21</v>
      </c>
      <c r="H537" s="25" t="s">
        <v>1615</v>
      </c>
      <c r="I537" s="12"/>
    </row>
    <row r="538" spans="1:9" x14ac:dyDescent="0.3">
      <c r="A538" s="11"/>
      <c r="B538" s="12" t="s">
        <v>155</v>
      </c>
      <c r="C538" s="12" t="s">
        <v>1306</v>
      </c>
      <c r="D538" s="12" t="s">
        <v>1814</v>
      </c>
      <c r="E538" s="14">
        <v>225</v>
      </c>
      <c r="F538" s="23">
        <v>0.7</v>
      </c>
      <c r="G538" s="14">
        <v>0</v>
      </c>
      <c r="H538" s="25" t="s">
        <v>1615</v>
      </c>
      <c r="I538" s="12"/>
    </row>
    <row r="539" spans="1:9" x14ac:dyDescent="0.3">
      <c r="A539" s="11"/>
      <c r="B539" s="12" t="s">
        <v>155</v>
      </c>
      <c r="C539" s="12" t="s">
        <v>1307</v>
      </c>
      <c r="D539" s="12" t="s">
        <v>1814</v>
      </c>
      <c r="E539" s="14">
        <v>250</v>
      </c>
      <c r="F539" s="23">
        <v>0.65</v>
      </c>
      <c r="G539" s="14">
        <v>0</v>
      </c>
      <c r="H539" s="25" t="s">
        <v>1615</v>
      </c>
      <c r="I539" s="12"/>
    </row>
    <row r="540" spans="1:9" x14ac:dyDescent="0.3">
      <c r="A540" s="11"/>
      <c r="B540" s="12" t="s">
        <v>155</v>
      </c>
      <c r="C540" s="12" t="s">
        <v>1308</v>
      </c>
      <c r="D540" s="12" t="s">
        <v>1814</v>
      </c>
      <c r="E540" s="14">
        <v>250</v>
      </c>
      <c r="F540" s="23">
        <v>0.56000000000000005</v>
      </c>
      <c r="G540" s="14">
        <v>0</v>
      </c>
      <c r="H540" s="25" t="s">
        <v>1615</v>
      </c>
      <c r="I540" s="12"/>
    </row>
    <row r="541" spans="1:9" x14ac:dyDescent="0.3">
      <c r="A541" s="11"/>
      <c r="B541" s="12" t="s">
        <v>155</v>
      </c>
      <c r="C541" s="12" t="s">
        <v>1309</v>
      </c>
      <c r="D541" s="12" t="s">
        <v>1814</v>
      </c>
      <c r="E541" s="14">
        <v>250</v>
      </c>
      <c r="F541" s="23">
        <v>0.69</v>
      </c>
      <c r="G541" s="14">
        <v>0</v>
      </c>
      <c r="H541" s="25" t="s">
        <v>1615</v>
      </c>
      <c r="I541" s="12"/>
    </row>
    <row r="542" spans="1:9" x14ac:dyDescent="0.3">
      <c r="A542" s="11"/>
      <c r="B542" s="12" t="s">
        <v>155</v>
      </c>
      <c r="C542" s="12" t="s">
        <v>1310</v>
      </c>
      <c r="D542" s="12" t="s">
        <v>1814</v>
      </c>
      <c r="E542" s="14">
        <v>225</v>
      </c>
      <c r="F542" s="23">
        <v>0.64</v>
      </c>
      <c r="G542" s="14">
        <v>0</v>
      </c>
      <c r="H542" s="25" t="s">
        <v>1615</v>
      </c>
      <c r="I542" s="12"/>
    </row>
    <row r="543" spans="1:9" x14ac:dyDescent="0.3">
      <c r="A543" s="11"/>
      <c r="B543" s="12" t="s">
        <v>155</v>
      </c>
      <c r="C543" s="12" t="s">
        <v>1311</v>
      </c>
      <c r="D543" s="25" t="s">
        <v>1880</v>
      </c>
      <c r="E543" s="14">
        <v>225</v>
      </c>
      <c r="F543" s="23">
        <v>0.48</v>
      </c>
      <c r="G543" s="14">
        <v>0</v>
      </c>
      <c r="H543" s="25" t="s">
        <v>1615</v>
      </c>
      <c r="I543" s="12"/>
    </row>
    <row r="544" spans="1:9" x14ac:dyDescent="0.3">
      <c r="A544" s="11"/>
      <c r="B544" s="12" t="s">
        <v>155</v>
      </c>
      <c r="C544" s="12" t="s">
        <v>1312</v>
      </c>
      <c r="D544" s="25" t="s">
        <v>1880</v>
      </c>
      <c r="E544" s="14">
        <v>150</v>
      </c>
      <c r="F544" s="23">
        <v>0.67</v>
      </c>
      <c r="G544" s="14">
        <v>0</v>
      </c>
      <c r="H544" s="25" t="s">
        <v>1615</v>
      </c>
      <c r="I544" s="12"/>
    </row>
    <row r="545" spans="1:9" x14ac:dyDescent="0.3">
      <c r="A545" s="11"/>
      <c r="B545" s="12" t="s">
        <v>155</v>
      </c>
      <c r="C545" s="12" t="s">
        <v>1313</v>
      </c>
      <c r="D545" s="12" t="s">
        <v>1637</v>
      </c>
      <c r="E545" s="14">
        <v>112.5</v>
      </c>
      <c r="F545" s="23">
        <v>0.73</v>
      </c>
      <c r="G545" s="14">
        <v>0</v>
      </c>
      <c r="H545" s="25" t="s">
        <v>1615</v>
      </c>
      <c r="I545" s="12"/>
    </row>
    <row r="546" spans="1:9" x14ac:dyDescent="0.3">
      <c r="A546" s="11"/>
      <c r="B546" s="12" t="s">
        <v>155</v>
      </c>
      <c r="C546" s="12" t="s">
        <v>1314</v>
      </c>
      <c r="D546" s="12" t="s">
        <v>1637</v>
      </c>
      <c r="E546" s="14">
        <v>112.5</v>
      </c>
      <c r="F546" s="23">
        <v>0.45</v>
      </c>
      <c r="G546" s="14">
        <v>0</v>
      </c>
      <c r="H546" s="25" t="s">
        <v>1615</v>
      </c>
      <c r="I546" s="12"/>
    </row>
    <row r="547" spans="1:9" x14ac:dyDescent="0.3">
      <c r="A547" s="11"/>
      <c r="B547" s="12" t="s">
        <v>155</v>
      </c>
      <c r="C547" s="12" t="s">
        <v>1315</v>
      </c>
      <c r="D547" s="12" t="s">
        <v>1637</v>
      </c>
      <c r="E547" s="14">
        <v>112.5</v>
      </c>
      <c r="F547" s="23">
        <v>0.49</v>
      </c>
      <c r="G547" s="14">
        <v>0</v>
      </c>
      <c r="H547" s="25" t="s">
        <v>1615</v>
      </c>
      <c r="I547" s="12"/>
    </row>
    <row r="548" spans="1:9" x14ac:dyDescent="0.3">
      <c r="A548" s="11"/>
      <c r="B548" s="12" t="s">
        <v>155</v>
      </c>
      <c r="C548" s="12" t="s">
        <v>1316</v>
      </c>
      <c r="D548" s="12" t="s">
        <v>1637</v>
      </c>
      <c r="E548" s="14">
        <v>150</v>
      </c>
      <c r="F548" s="23">
        <v>0.52</v>
      </c>
      <c r="G548" s="14">
        <v>0</v>
      </c>
      <c r="H548" s="25" t="s">
        <v>1615</v>
      </c>
      <c r="I548" s="12"/>
    </row>
    <row r="549" spans="1:9" x14ac:dyDescent="0.3">
      <c r="A549" s="11"/>
      <c r="B549" s="12" t="s">
        <v>155</v>
      </c>
      <c r="C549" s="12" t="s">
        <v>1317</v>
      </c>
      <c r="D549" s="12" t="s">
        <v>1637</v>
      </c>
      <c r="E549" s="14">
        <v>100</v>
      </c>
      <c r="F549" s="23">
        <v>0.65</v>
      </c>
      <c r="G549" s="14">
        <v>0</v>
      </c>
      <c r="H549" s="25" t="s">
        <v>1615</v>
      </c>
      <c r="I549" s="12"/>
    </row>
    <row r="550" spans="1:9" x14ac:dyDescent="0.3">
      <c r="A550" s="11"/>
      <c r="B550" s="12" t="s">
        <v>155</v>
      </c>
      <c r="C550" s="12" t="s">
        <v>1318</v>
      </c>
      <c r="D550" s="12" t="s">
        <v>1637</v>
      </c>
      <c r="E550" s="14">
        <v>100</v>
      </c>
      <c r="F550" s="23">
        <v>0.6</v>
      </c>
      <c r="G550" s="14">
        <v>0</v>
      </c>
      <c r="H550" s="25" t="s">
        <v>1615</v>
      </c>
      <c r="I550" s="12"/>
    </row>
    <row r="551" spans="1:9" x14ac:dyDescent="0.3">
      <c r="A551" s="11"/>
      <c r="B551" s="12" t="s">
        <v>155</v>
      </c>
      <c r="C551" s="12" t="s">
        <v>1319</v>
      </c>
      <c r="D551" s="12" t="s">
        <v>1637</v>
      </c>
      <c r="E551" s="14">
        <v>75</v>
      </c>
      <c r="F551" s="23">
        <v>0.69</v>
      </c>
      <c r="G551" s="14">
        <v>0</v>
      </c>
      <c r="H551" s="25" t="s">
        <v>1615</v>
      </c>
      <c r="I551" s="12"/>
    </row>
    <row r="552" spans="1:9" x14ac:dyDescent="0.3">
      <c r="A552" s="11"/>
      <c r="B552" s="12" t="s">
        <v>155</v>
      </c>
      <c r="C552" s="12" t="s">
        <v>1320</v>
      </c>
      <c r="D552" s="12" t="s">
        <v>1637</v>
      </c>
      <c r="E552" s="14">
        <v>150</v>
      </c>
      <c r="F552" s="23">
        <v>0.6</v>
      </c>
      <c r="G552" s="14">
        <v>0</v>
      </c>
      <c r="H552" s="25" t="s">
        <v>1615</v>
      </c>
      <c r="I552" s="12"/>
    </row>
    <row r="553" spans="1:9" x14ac:dyDescent="0.3">
      <c r="A553" s="11"/>
      <c r="B553" s="12" t="s">
        <v>155</v>
      </c>
      <c r="C553" s="12" t="s">
        <v>1321</v>
      </c>
      <c r="D553" s="12" t="s">
        <v>1637</v>
      </c>
      <c r="E553" s="14">
        <v>150</v>
      </c>
      <c r="F553" s="23">
        <v>0.46</v>
      </c>
      <c r="G553" s="14">
        <v>0</v>
      </c>
      <c r="H553" s="25" t="s">
        <v>1615</v>
      </c>
      <c r="I553" s="12"/>
    </row>
    <row r="554" spans="1:9" x14ac:dyDescent="0.3">
      <c r="A554" s="11"/>
      <c r="B554" s="12" t="s">
        <v>155</v>
      </c>
      <c r="C554" s="12" t="s">
        <v>1322</v>
      </c>
      <c r="D554" s="12" t="s">
        <v>1637</v>
      </c>
      <c r="E554" s="14">
        <v>75</v>
      </c>
      <c r="F554" s="23">
        <v>0.53</v>
      </c>
      <c r="G554" s="14">
        <v>0</v>
      </c>
      <c r="H554" s="25" t="s">
        <v>1615</v>
      </c>
      <c r="I554" s="12"/>
    </row>
    <row r="555" spans="1:9" x14ac:dyDescent="0.3">
      <c r="A555" s="11"/>
      <c r="B555" s="12" t="s">
        <v>155</v>
      </c>
      <c r="C555" s="12" t="s">
        <v>1323</v>
      </c>
      <c r="D555" s="12" t="s">
        <v>1637</v>
      </c>
      <c r="E555" s="14">
        <v>100</v>
      </c>
      <c r="F555" s="23">
        <v>0.66</v>
      </c>
      <c r="G555" s="14">
        <v>0</v>
      </c>
      <c r="H555" s="25" t="s">
        <v>1615</v>
      </c>
      <c r="I555" s="12"/>
    </row>
    <row r="556" spans="1:9" x14ac:dyDescent="0.3">
      <c r="A556" s="11"/>
      <c r="B556" s="12" t="s">
        <v>155</v>
      </c>
      <c r="C556" s="12" t="s">
        <v>1324</v>
      </c>
      <c r="D556" s="25" t="s">
        <v>1667</v>
      </c>
      <c r="E556" s="14">
        <v>150</v>
      </c>
      <c r="F556" s="23">
        <v>0.52</v>
      </c>
      <c r="G556" s="14">
        <v>0</v>
      </c>
      <c r="H556" s="25" t="s">
        <v>1615</v>
      </c>
      <c r="I556" s="12"/>
    </row>
    <row r="557" spans="1:9" x14ac:dyDescent="0.3">
      <c r="A557" s="11"/>
      <c r="B557" s="12" t="s">
        <v>155</v>
      </c>
      <c r="C557" s="12" t="s">
        <v>1325</v>
      </c>
      <c r="D557" s="12" t="s">
        <v>1813</v>
      </c>
      <c r="E557" s="14">
        <v>100</v>
      </c>
      <c r="F557" s="23">
        <v>0.53</v>
      </c>
      <c r="G557" s="14">
        <v>0</v>
      </c>
      <c r="H557" s="25" t="s">
        <v>1615</v>
      </c>
      <c r="I557" s="12"/>
    </row>
    <row r="558" spans="1:9" x14ac:dyDescent="0.3">
      <c r="A558" s="11"/>
      <c r="B558" s="12" t="s">
        <v>155</v>
      </c>
      <c r="C558" s="12" t="s">
        <v>1326</v>
      </c>
      <c r="D558" s="12" t="s">
        <v>1813</v>
      </c>
      <c r="E558" s="14">
        <v>150</v>
      </c>
      <c r="F558" s="23">
        <v>0.72</v>
      </c>
      <c r="G558" s="14">
        <v>0</v>
      </c>
      <c r="H558" s="25" t="s">
        <v>1615</v>
      </c>
      <c r="I558" s="12"/>
    </row>
    <row r="559" spans="1:9" x14ac:dyDescent="0.3">
      <c r="A559" s="11"/>
      <c r="B559" s="12" t="s">
        <v>155</v>
      </c>
      <c r="C559" s="12" t="s">
        <v>1327</v>
      </c>
      <c r="D559" s="12" t="s">
        <v>1813</v>
      </c>
      <c r="E559" s="14">
        <v>200</v>
      </c>
      <c r="F559" s="23">
        <v>0.52</v>
      </c>
      <c r="G559" s="14">
        <v>0</v>
      </c>
      <c r="H559" s="25" t="s">
        <v>1615</v>
      </c>
      <c r="I559" s="12"/>
    </row>
    <row r="560" spans="1:9" x14ac:dyDescent="0.3">
      <c r="A560" s="11"/>
      <c r="B560" s="12" t="s">
        <v>155</v>
      </c>
      <c r="C560" s="12" t="s">
        <v>1328</v>
      </c>
      <c r="D560" s="12" t="s">
        <v>1637</v>
      </c>
      <c r="E560" s="14">
        <v>150</v>
      </c>
      <c r="F560" s="23">
        <v>0.66</v>
      </c>
      <c r="G560" s="14">
        <v>0</v>
      </c>
      <c r="H560" s="25" t="s">
        <v>1615</v>
      </c>
      <c r="I560" s="12"/>
    </row>
    <row r="561" spans="1:9" x14ac:dyDescent="0.3">
      <c r="A561" s="11"/>
      <c r="B561" s="12" t="s">
        <v>151</v>
      </c>
      <c r="C561" s="12" t="s">
        <v>1329</v>
      </c>
      <c r="D561" s="12" t="s">
        <v>1627</v>
      </c>
      <c r="E561" s="14">
        <v>400</v>
      </c>
      <c r="F561" s="23">
        <v>0.46</v>
      </c>
      <c r="G561" s="14">
        <v>170.89</v>
      </c>
      <c r="H561" s="25" t="s">
        <v>1615</v>
      </c>
      <c r="I561" s="12"/>
    </row>
    <row r="562" spans="1:9" x14ac:dyDescent="0.3">
      <c r="A562" s="11"/>
      <c r="B562" s="12" t="s">
        <v>151</v>
      </c>
      <c r="C562" s="12" t="s">
        <v>1330</v>
      </c>
      <c r="D562" s="12" t="s">
        <v>1627</v>
      </c>
      <c r="E562" s="14">
        <v>250</v>
      </c>
      <c r="F562" s="23">
        <v>0.46</v>
      </c>
      <c r="G562" s="14">
        <v>0</v>
      </c>
      <c r="H562" s="25" t="s">
        <v>1615</v>
      </c>
      <c r="I562" s="12"/>
    </row>
    <row r="563" spans="1:9" x14ac:dyDescent="0.3">
      <c r="A563" s="11"/>
      <c r="B563" s="12" t="s">
        <v>151</v>
      </c>
      <c r="C563" s="12" t="s">
        <v>1331</v>
      </c>
      <c r="D563" s="12" t="s">
        <v>1627</v>
      </c>
      <c r="E563" s="14">
        <v>150</v>
      </c>
      <c r="F563" s="23">
        <v>0.56999999999999995</v>
      </c>
      <c r="G563" s="14">
        <v>11.7</v>
      </c>
      <c r="H563" s="25" t="s">
        <v>1615</v>
      </c>
      <c r="I563" s="12"/>
    </row>
    <row r="564" spans="1:9" x14ac:dyDescent="0.3">
      <c r="A564" s="11"/>
      <c r="B564" s="12" t="s">
        <v>151</v>
      </c>
      <c r="C564" s="12" t="s">
        <v>1332</v>
      </c>
      <c r="D564" s="12" t="s">
        <v>1686</v>
      </c>
      <c r="E564" s="14">
        <v>100</v>
      </c>
      <c r="F564" s="23">
        <v>0.46</v>
      </c>
      <c r="G564" s="14">
        <v>0</v>
      </c>
      <c r="H564" s="25" t="s">
        <v>1615</v>
      </c>
      <c r="I564" s="12"/>
    </row>
    <row r="565" spans="1:9" x14ac:dyDescent="0.3">
      <c r="A565" s="11"/>
      <c r="B565" s="12" t="s">
        <v>153</v>
      </c>
      <c r="C565" s="12" t="s">
        <v>1333</v>
      </c>
      <c r="D565" s="12" t="s">
        <v>1815</v>
      </c>
      <c r="E565" s="14">
        <v>100</v>
      </c>
      <c r="F565" s="23">
        <v>0.46</v>
      </c>
      <c r="G565" s="14">
        <v>0</v>
      </c>
      <c r="H565" s="25" t="s">
        <v>1615</v>
      </c>
      <c r="I565" s="12"/>
    </row>
    <row r="566" spans="1:9" x14ac:dyDescent="0.3">
      <c r="A566" s="11"/>
      <c r="B566" s="12" t="s">
        <v>153</v>
      </c>
      <c r="C566" s="12" t="s">
        <v>1334</v>
      </c>
      <c r="D566" s="12" t="s">
        <v>1815</v>
      </c>
      <c r="E566" s="14">
        <v>225</v>
      </c>
      <c r="F566" s="23">
        <v>0.53</v>
      </c>
      <c r="G566" s="14">
        <v>200.61</v>
      </c>
      <c r="H566" s="25" t="s">
        <v>1615</v>
      </c>
      <c r="I566" s="12"/>
    </row>
    <row r="567" spans="1:9" x14ac:dyDescent="0.3">
      <c r="A567" s="11"/>
      <c r="B567" s="12" t="s">
        <v>153</v>
      </c>
      <c r="C567" s="12" t="s">
        <v>1335</v>
      </c>
      <c r="D567" s="12" t="s">
        <v>1816</v>
      </c>
      <c r="E567" s="14">
        <v>150</v>
      </c>
      <c r="F567" s="23">
        <v>0.5</v>
      </c>
      <c r="G567" s="14">
        <v>0</v>
      </c>
      <c r="H567" s="25" t="s">
        <v>1615</v>
      </c>
      <c r="I567" s="12"/>
    </row>
    <row r="568" spans="1:9" x14ac:dyDescent="0.3">
      <c r="A568" s="11"/>
      <c r="B568" s="12" t="s">
        <v>153</v>
      </c>
      <c r="C568" s="12" t="s">
        <v>1336</v>
      </c>
      <c r="D568" s="12" t="s">
        <v>1817</v>
      </c>
      <c r="E568" s="14">
        <v>112.5</v>
      </c>
      <c r="F568" s="23">
        <v>0.63</v>
      </c>
      <c r="G568" s="14">
        <v>0</v>
      </c>
      <c r="H568" s="25" t="s">
        <v>1615</v>
      </c>
      <c r="I568" s="12"/>
    </row>
    <row r="569" spans="1:9" x14ac:dyDescent="0.3">
      <c r="A569" s="11"/>
      <c r="B569" s="12" t="s">
        <v>153</v>
      </c>
      <c r="C569" s="12" t="s">
        <v>1337</v>
      </c>
      <c r="D569" s="12" t="s">
        <v>1816</v>
      </c>
      <c r="E569" s="14">
        <v>112.5</v>
      </c>
      <c r="F569" s="23">
        <v>0.56000000000000005</v>
      </c>
      <c r="G569" s="14">
        <v>0</v>
      </c>
      <c r="H569" s="25" t="s">
        <v>1615</v>
      </c>
      <c r="I569" s="12"/>
    </row>
    <row r="570" spans="1:9" x14ac:dyDescent="0.3">
      <c r="A570" s="11"/>
      <c r="B570" s="12" t="s">
        <v>153</v>
      </c>
      <c r="C570" s="12" t="s">
        <v>1338</v>
      </c>
      <c r="D570" s="12" t="s">
        <v>1818</v>
      </c>
      <c r="E570" s="14">
        <v>112.5</v>
      </c>
      <c r="F570" s="23">
        <v>0.59</v>
      </c>
      <c r="G570" s="14">
        <v>0</v>
      </c>
      <c r="H570" s="25" t="s">
        <v>1615</v>
      </c>
      <c r="I570" s="12"/>
    </row>
    <row r="571" spans="1:9" x14ac:dyDescent="0.3">
      <c r="A571" s="11"/>
      <c r="B571" s="12" t="s">
        <v>153</v>
      </c>
      <c r="C571" s="12" t="s">
        <v>1339</v>
      </c>
      <c r="D571" s="12" t="s">
        <v>1819</v>
      </c>
      <c r="E571" s="14">
        <v>250</v>
      </c>
      <c r="F571" s="23">
        <v>0.71</v>
      </c>
      <c r="G571" s="14">
        <v>0</v>
      </c>
      <c r="H571" s="25" t="s">
        <v>1615</v>
      </c>
      <c r="I571" s="12"/>
    </row>
    <row r="572" spans="1:9" x14ac:dyDescent="0.3">
      <c r="A572" s="11"/>
      <c r="B572" s="12" t="s">
        <v>153</v>
      </c>
      <c r="C572" s="12" t="s">
        <v>1340</v>
      </c>
      <c r="D572" s="12" t="s">
        <v>1820</v>
      </c>
      <c r="E572" s="14">
        <v>160</v>
      </c>
      <c r="F572" s="23">
        <v>0.5</v>
      </c>
      <c r="G572" s="14">
        <v>0</v>
      </c>
      <c r="H572" s="25" t="s">
        <v>1615</v>
      </c>
      <c r="I572" s="12"/>
    </row>
    <row r="573" spans="1:9" x14ac:dyDescent="0.3">
      <c r="A573" s="11"/>
      <c r="B573" s="12" t="s">
        <v>153</v>
      </c>
      <c r="C573" s="12" t="s">
        <v>1341</v>
      </c>
      <c r="D573" s="12" t="s">
        <v>1815</v>
      </c>
      <c r="E573" s="14">
        <v>112.5</v>
      </c>
      <c r="F573" s="23">
        <v>0.71</v>
      </c>
      <c r="G573" s="14">
        <v>0</v>
      </c>
      <c r="H573" s="25" t="s">
        <v>1615</v>
      </c>
      <c r="I573" s="12"/>
    </row>
    <row r="574" spans="1:9" x14ac:dyDescent="0.3">
      <c r="A574" s="11"/>
      <c r="B574" s="12" t="s">
        <v>153</v>
      </c>
      <c r="C574" s="12" t="s">
        <v>1342</v>
      </c>
      <c r="D574" s="12" t="s">
        <v>1821</v>
      </c>
      <c r="E574" s="14">
        <v>200</v>
      </c>
      <c r="F574" s="23">
        <v>0.53</v>
      </c>
      <c r="G574" s="14">
        <v>0</v>
      </c>
      <c r="H574" s="25" t="s">
        <v>1615</v>
      </c>
      <c r="I574" s="12"/>
    </row>
    <row r="575" spans="1:9" x14ac:dyDescent="0.3">
      <c r="A575" s="11"/>
      <c r="B575" s="12" t="s">
        <v>153</v>
      </c>
      <c r="C575" s="12" t="s">
        <v>1343</v>
      </c>
      <c r="D575" s="12" t="s">
        <v>1821</v>
      </c>
      <c r="E575" s="14">
        <v>150</v>
      </c>
      <c r="F575" s="23">
        <v>0.53</v>
      </c>
      <c r="G575" s="14">
        <v>5.28</v>
      </c>
      <c r="H575" s="25" t="s">
        <v>1615</v>
      </c>
      <c r="I575" s="12"/>
    </row>
    <row r="576" spans="1:9" x14ac:dyDescent="0.3">
      <c r="A576" s="11"/>
      <c r="B576" s="12" t="s">
        <v>153</v>
      </c>
      <c r="C576" s="12" t="s">
        <v>1344</v>
      </c>
      <c r="D576" s="12" t="s">
        <v>1816</v>
      </c>
      <c r="E576" s="14">
        <v>50</v>
      </c>
      <c r="F576" s="23">
        <v>0.75</v>
      </c>
      <c r="G576" s="14">
        <v>0</v>
      </c>
      <c r="H576" s="25" t="s">
        <v>1615</v>
      </c>
      <c r="I576" s="12"/>
    </row>
    <row r="577" spans="1:9" x14ac:dyDescent="0.3">
      <c r="A577" s="11"/>
      <c r="B577" s="12" t="s">
        <v>153</v>
      </c>
      <c r="C577" s="12" t="s">
        <v>1345</v>
      </c>
      <c r="D577" s="12" t="s">
        <v>1822</v>
      </c>
      <c r="E577" s="14">
        <v>320</v>
      </c>
      <c r="F577" s="23">
        <v>0.68</v>
      </c>
      <c r="G577" s="14">
        <v>0</v>
      </c>
      <c r="H577" s="25" t="s">
        <v>1615</v>
      </c>
      <c r="I577" s="12"/>
    </row>
    <row r="578" spans="1:9" x14ac:dyDescent="0.3">
      <c r="A578" s="11"/>
      <c r="B578" s="12" t="s">
        <v>153</v>
      </c>
      <c r="C578" s="12" t="s">
        <v>1346</v>
      </c>
      <c r="D578" s="12" t="s">
        <v>1823</v>
      </c>
      <c r="E578" s="14">
        <v>300</v>
      </c>
      <c r="F578" s="23">
        <v>0.56000000000000005</v>
      </c>
      <c r="G578" s="14">
        <v>0</v>
      </c>
      <c r="H578" s="25" t="s">
        <v>1615</v>
      </c>
      <c r="I578" s="12"/>
    </row>
    <row r="579" spans="1:9" x14ac:dyDescent="0.3">
      <c r="A579" s="11"/>
      <c r="B579" s="12" t="s">
        <v>154</v>
      </c>
      <c r="C579" s="12" t="s">
        <v>1347</v>
      </c>
      <c r="D579" s="12" t="s">
        <v>1824</v>
      </c>
      <c r="E579" s="14">
        <v>100</v>
      </c>
      <c r="F579" s="23">
        <v>0.56999999999999995</v>
      </c>
      <c r="G579" s="14">
        <v>0</v>
      </c>
      <c r="H579" s="25" t="s">
        <v>1615</v>
      </c>
      <c r="I579" s="12"/>
    </row>
    <row r="580" spans="1:9" x14ac:dyDescent="0.3">
      <c r="A580" s="11"/>
      <c r="B580" s="12" t="s">
        <v>153</v>
      </c>
      <c r="C580" s="12" t="s">
        <v>1348</v>
      </c>
      <c r="D580" s="12" t="s">
        <v>1825</v>
      </c>
      <c r="E580" s="14">
        <v>100</v>
      </c>
      <c r="F580" s="23">
        <v>0.48</v>
      </c>
      <c r="G580" s="14">
        <v>0</v>
      </c>
      <c r="H580" s="25" t="s">
        <v>1615</v>
      </c>
      <c r="I580" s="12"/>
    </row>
    <row r="581" spans="1:9" x14ac:dyDescent="0.3">
      <c r="A581" s="11"/>
      <c r="B581" s="12" t="s">
        <v>153</v>
      </c>
      <c r="C581" s="12" t="s">
        <v>1349</v>
      </c>
      <c r="D581" s="12" t="s">
        <v>1749</v>
      </c>
      <c r="E581" s="14">
        <v>50</v>
      </c>
      <c r="F581" s="23">
        <v>0.61</v>
      </c>
      <c r="G581" s="14">
        <v>0</v>
      </c>
      <c r="H581" s="25" t="s">
        <v>1615</v>
      </c>
      <c r="I581" s="12"/>
    </row>
    <row r="582" spans="1:9" x14ac:dyDescent="0.3">
      <c r="A582" s="11"/>
      <c r="B582" s="12" t="s">
        <v>153</v>
      </c>
      <c r="C582" s="12" t="s">
        <v>1350</v>
      </c>
      <c r="D582" s="12" t="s">
        <v>1749</v>
      </c>
      <c r="E582" s="14">
        <v>100</v>
      </c>
      <c r="F582" s="23">
        <v>0.56000000000000005</v>
      </c>
      <c r="G582" s="14">
        <v>0</v>
      </c>
      <c r="H582" s="25" t="s">
        <v>1615</v>
      </c>
      <c r="I582" s="12"/>
    </row>
    <row r="583" spans="1:9" x14ac:dyDescent="0.3">
      <c r="A583" s="11"/>
      <c r="B583" s="12" t="s">
        <v>153</v>
      </c>
      <c r="C583" s="12" t="s">
        <v>1351</v>
      </c>
      <c r="D583" s="12" t="s">
        <v>1816</v>
      </c>
      <c r="E583" s="14">
        <v>150</v>
      </c>
      <c r="F583" s="23">
        <v>0.72</v>
      </c>
      <c r="G583" s="14">
        <v>0</v>
      </c>
      <c r="H583" s="25" t="s">
        <v>1615</v>
      </c>
      <c r="I583" s="12"/>
    </row>
    <row r="584" spans="1:9" x14ac:dyDescent="0.3">
      <c r="A584" s="11"/>
      <c r="B584" s="12" t="s">
        <v>153</v>
      </c>
      <c r="C584" s="12" t="s">
        <v>1352</v>
      </c>
      <c r="D584" s="12" t="s">
        <v>1821</v>
      </c>
      <c r="E584" s="14">
        <v>75</v>
      </c>
      <c r="F584" s="23">
        <v>0.61</v>
      </c>
      <c r="G584" s="14">
        <v>0</v>
      </c>
      <c r="H584" s="25" t="s">
        <v>1615</v>
      </c>
      <c r="I584" s="12"/>
    </row>
    <row r="585" spans="1:9" x14ac:dyDescent="0.3">
      <c r="A585" s="11"/>
      <c r="B585" s="12" t="s">
        <v>153</v>
      </c>
      <c r="C585" s="12" t="s">
        <v>1353</v>
      </c>
      <c r="D585" s="12" t="s">
        <v>1816</v>
      </c>
      <c r="E585" s="14">
        <v>75</v>
      </c>
      <c r="F585" s="23">
        <v>0.71</v>
      </c>
      <c r="G585" s="14">
        <v>0</v>
      </c>
      <c r="H585" s="25" t="s">
        <v>1615</v>
      </c>
      <c r="I585" s="12"/>
    </row>
    <row r="586" spans="1:9" x14ac:dyDescent="0.3">
      <c r="A586" s="11"/>
      <c r="B586" s="12" t="s">
        <v>156</v>
      </c>
      <c r="C586" s="12" t="s">
        <v>1354</v>
      </c>
      <c r="D586" s="12" t="s">
        <v>1826</v>
      </c>
      <c r="E586" s="14">
        <v>250</v>
      </c>
      <c r="F586" s="23">
        <v>0.75</v>
      </c>
      <c r="G586" s="14">
        <v>0</v>
      </c>
      <c r="H586" s="25" t="s">
        <v>1615</v>
      </c>
      <c r="I586" s="12"/>
    </row>
    <row r="587" spans="1:9" x14ac:dyDescent="0.3">
      <c r="A587" s="11"/>
      <c r="B587" s="12" t="s">
        <v>156</v>
      </c>
      <c r="C587" s="12" t="s">
        <v>1355</v>
      </c>
      <c r="D587" s="12" t="s">
        <v>1826</v>
      </c>
      <c r="E587" s="14">
        <v>250</v>
      </c>
      <c r="F587" s="23">
        <v>0.47</v>
      </c>
      <c r="G587" s="14">
        <v>27</v>
      </c>
      <c r="H587" s="25" t="s">
        <v>1615</v>
      </c>
      <c r="I587" s="12"/>
    </row>
    <row r="588" spans="1:9" x14ac:dyDescent="0.3">
      <c r="A588" s="11"/>
      <c r="B588" s="12" t="s">
        <v>156</v>
      </c>
      <c r="C588" s="12" t="s">
        <v>1356</v>
      </c>
      <c r="D588" s="12" t="s">
        <v>1827</v>
      </c>
      <c r="E588" s="14">
        <v>250</v>
      </c>
      <c r="F588" s="23">
        <v>0.71</v>
      </c>
      <c r="G588" s="14">
        <v>0</v>
      </c>
      <c r="H588" s="25" t="s">
        <v>1615</v>
      </c>
      <c r="I588" s="12"/>
    </row>
    <row r="589" spans="1:9" x14ac:dyDescent="0.3">
      <c r="A589" s="11"/>
      <c r="B589" s="12" t="s">
        <v>156</v>
      </c>
      <c r="C589" s="12" t="s">
        <v>1357</v>
      </c>
      <c r="D589" s="12" t="s">
        <v>1738</v>
      </c>
      <c r="E589" s="14">
        <v>320</v>
      </c>
      <c r="F589" s="23">
        <v>0.61</v>
      </c>
      <c r="G589" s="14">
        <v>0</v>
      </c>
      <c r="H589" s="25" t="s">
        <v>1615</v>
      </c>
      <c r="I589" s="12"/>
    </row>
    <row r="590" spans="1:9" x14ac:dyDescent="0.3">
      <c r="A590" s="11"/>
      <c r="B590" s="12" t="s">
        <v>156</v>
      </c>
      <c r="C590" s="12" t="s">
        <v>1358</v>
      </c>
      <c r="D590" s="12" t="s">
        <v>1641</v>
      </c>
      <c r="E590" s="14">
        <v>150</v>
      </c>
      <c r="F590" s="23">
        <v>0.5</v>
      </c>
      <c r="G590" s="14">
        <v>0</v>
      </c>
      <c r="H590" s="25" t="s">
        <v>1615</v>
      </c>
      <c r="I590" s="12"/>
    </row>
    <row r="591" spans="1:9" x14ac:dyDescent="0.3">
      <c r="A591" s="11"/>
      <c r="B591" s="12" t="s">
        <v>156</v>
      </c>
      <c r="C591" s="12" t="s">
        <v>1359</v>
      </c>
      <c r="D591" s="12" t="s">
        <v>1651</v>
      </c>
      <c r="E591" s="14">
        <v>75</v>
      </c>
      <c r="F591" s="23">
        <v>0.63</v>
      </c>
      <c r="G591" s="14">
        <v>0</v>
      </c>
      <c r="H591" s="25" t="s">
        <v>1615</v>
      </c>
      <c r="I591" s="12"/>
    </row>
    <row r="592" spans="1:9" x14ac:dyDescent="0.3">
      <c r="A592" s="11"/>
      <c r="B592" s="12" t="s">
        <v>156</v>
      </c>
      <c r="C592" s="12" t="s">
        <v>1360</v>
      </c>
      <c r="D592" s="12" t="s">
        <v>1723</v>
      </c>
      <c r="E592" s="14">
        <v>150</v>
      </c>
      <c r="F592" s="23">
        <v>0.54</v>
      </c>
      <c r="G592" s="14">
        <v>0</v>
      </c>
      <c r="H592" s="25" t="s">
        <v>1615</v>
      </c>
      <c r="I592" s="12"/>
    </row>
    <row r="593" spans="1:9" x14ac:dyDescent="0.3">
      <c r="A593" s="11"/>
      <c r="B593" s="12" t="s">
        <v>156</v>
      </c>
      <c r="C593" s="12" t="s">
        <v>1361</v>
      </c>
      <c r="D593" s="12" t="s">
        <v>1723</v>
      </c>
      <c r="E593" s="14">
        <v>160</v>
      </c>
      <c r="F593" s="23">
        <v>0.74</v>
      </c>
      <c r="G593" s="14">
        <v>5.81</v>
      </c>
      <c r="H593" s="25" t="s">
        <v>1615</v>
      </c>
      <c r="I593" s="12"/>
    </row>
    <row r="594" spans="1:9" x14ac:dyDescent="0.3">
      <c r="A594" s="11"/>
      <c r="B594" s="12" t="s">
        <v>156</v>
      </c>
      <c r="C594" s="12" t="s">
        <v>1362</v>
      </c>
      <c r="D594" s="12" t="s">
        <v>1651</v>
      </c>
      <c r="E594" s="14">
        <v>75</v>
      </c>
      <c r="F594" s="23">
        <v>0.68</v>
      </c>
      <c r="G594" s="14">
        <v>0</v>
      </c>
      <c r="H594" s="25" t="s">
        <v>1615</v>
      </c>
      <c r="I594" s="12"/>
    </row>
    <row r="595" spans="1:9" x14ac:dyDescent="0.3">
      <c r="A595" s="11"/>
      <c r="B595" s="12" t="s">
        <v>156</v>
      </c>
      <c r="C595" s="12" t="s">
        <v>1363</v>
      </c>
      <c r="D595" s="12" t="s">
        <v>1641</v>
      </c>
      <c r="E595" s="14">
        <v>250</v>
      </c>
      <c r="F595" s="23">
        <v>0.49</v>
      </c>
      <c r="G595" s="14">
        <v>0</v>
      </c>
      <c r="H595" s="25" t="s">
        <v>1615</v>
      </c>
      <c r="I595" s="12"/>
    </row>
    <row r="596" spans="1:9" x14ac:dyDescent="0.3">
      <c r="A596" s="11"/>
      <c r="B596" s="12" t="s">
        <v>156</v>
      </c>
      <c r="C596" s="12" t="s">
        <v>1364</v>
      </c>
      <c r="D596" s="12" t="s">
        <v>1651</v>
      </c>
      <c r="E596" s="14">
        <v>100</v>
      </c>
      <c r="F596" s="23">
        <v>0.52</v>
      </c>
      <c r="G596" s="14">
        <v>0</v>
      </c>
      <c r="H596" s="25" t="s">
        <v>1615</v>
      </c>
      <c r="I596" s="12"/>
    </row>
    <row r="597" spans="1:9" x14ac:dyDescent="0.3">
      <c r="A597" s="11"/>
      <c r="B597" s="12" t="s">
        <v>156</v>
      </c>
      <c r="C597" s="12" t="s">
        <v>1365</v>
      </c>
      <c r="D597" s="12" t="s">
        <v>1651</v>
      </c>
      <c r="E597" s="14">
        <v>250</v>
      </c>
      <c r="F597" s="23">
        <v>0.7</v>
      </c>
      <c r="G597" s="14">
        <v>0</v>
      </c>
      <c r="H597" s="25" t="s">
        <v>1615</v>
      </c>
      <c r="I597" s="12"/>
    </row>
    <row r="598" spans="1:9" x14ac:dyDescent="0.3">
      <c r="A598" s="11"/>
      <c r="B598" s="12" t="s">
        <v>156</v>
      </c>
      <c r="C598" s="12" t="s">
        <v>1366</v>
      </c>
      <c r="D598" s="25" t="s">
        <v>1651</v>
      </c>
      <c r="E598" s="14">
        <v>160</v>
      </c>
      <c r="F598" s="23">
        <v>0.47</v>
      </c>
      <c r="G598" s="14">
        <v>0</v>
      </c>
      <c r="H598" s="25" t="s">
        <v>1615</v>
      </c>
      <c r="I598" s="12"/>
    </row>
    <row r="599" spans="1:9" x14ac:dyDescent="0.3">
      <c r="A599" s="11"/>
      <c r="B599" s="12" t="s">
        <v>156</v>
      </c>
      <c r="C599" s="12" t="s">
        <v>1367</v>
      </c>
      <c r="D599" s="12" t="s">
        <v>1723</v>
      </c>
      <c r="E599" s="14">
        <v>100</v>
      </c>
      <c r="F599" s="23">
        <v>0.62</v>
      </c>
      <c r="G599" s="14">
        <v>0</v>
      </c>
      <c r="H599" s="25" t="s">
        <v>1615</v>
      </c>
      <c r="I599" s="12"/>
    </row>
    <row r="600" spans="1:9" x14ac:dyDescent="0.3">
      <c r="A600" s="11"/>
      <c r="B600" s="12" t="s">
        <v>156</v>
      </c>
      <c r="C600" s="12" t="s">
        <v>1368</v>
      </c>
      <c r="D600" s="12" t="s">
        <v>1640</v>
      </c>
      <c r="E600" s="14">
        <v>250</v>
      </c>
      <c r="F600" s="23">
        <v>0.6</v>
      </c>
      <c r="G600" s="14">
        <v>0</v>
      </c>
      <c r="H600" s="25" t="s">
        <v>1615</v>
      </c>
      <c r="I600" s="12"/>
    </row>
    <row r="601" spans="1:9" x14ac:dyDescent="0.3">
      <c r="A601" s="11"/>
      <c r="B601" s="12" t="s">
        <v>156</v>
      </c>
      <c r="C601" s="12" t="s">
        <v>1369</v>
      </c>
      <c r="D601" s="12" t="s">
        <v>1828</v>
      </c>
      <c r="E601" s="14">
        <v>100</v>
      </c>
      <c r="F601" s="23">
        <v>0.6</v>
      </c>
      <c r="G601" s="14">
        <v>0</v>
      </c>
      <c r="H601" s="25" t="s">
        <v>1615</v>
      </c>
      <c r="I601" s="12"/>
    </row>
    <row r="602" spans="1:9" x14ac:dyDescent="0.3">
      <c r="A602" s="11"/>
      <c r="B602" s="12" t="s">
        <v>156</v>
      </c>
      <c r="C602" s="12" t="s">
        <v>1370</v>
      </c>
      <c r="D602" s="12" t="s">
        <v>1828</v>
      </c>
      <c r="E602" s="14">
        <v>100</v>
      </c>
      <c r="F602" s="23">
        <v>0.52</v>
      </c>
      <c r="G602" s="14">
        <v>0</v>
      </c>
      <c r="H602" s="25" t="s">
        <v>1615</v>
      </c>
      <c r="I602" s="12"/>
    </row>
    <row r="603" spans="1:9" x14ac:dyDescent="0.3">
      <c r="A603" s="11"/>
      <c r="B603" s="12" t="s">
        <v>156</v>
      </c>
      <c r="C603" s="12" t="s">
        <v>1371</v>
      </c>
      <c r="D603" s="12" t="s">
        <v>1828</v>
      </c>
      <c r="E603" s="14">
        <v>50</v>
      </c>
      <c r="F603" s="23">
        <v>0.46</v>
      </c>
      <c r="G603" s="14">
        <v>0</v>
      </c>
      <c r="H603" s="25" t="s">
        <v>1615</v>
      </c>
      <c r="I603" s="12"/>
    </row>
    <row r="604" spans="1:9" x14ac:dyDescent="0.3">
      <c r="A604" s="11"/>
      <c r="B604" s="12" t="s">
        <v>156</v>
      </c>
      <c r="C604" s="12" t="s">
        <v>1372</v>
      </c>
      <c r="D604" s="12" t="s">
        <v>1828</v>
      </c>
      <c r="E604" s="14">
        <v>250</v>
      </c>
      <c r="F604" s="23">
        <v>0.45</v>
      </c>
      <c r="G604" s="14">
        <v>20.399999999999999</v>
      </c>
      <c r="H604" s="25" t="s">
        <v>1615</v>
      </c>
      <c r="I604" s="12"/>
    </row>
    <row r="605" spans="1:9" x14ac:dyDescent="0.3">
      <c r="A605" s="11"/>
      <c r="B605" s="12" t="s">
        <v>156</v>
      </c>
      <c r="C605" s="12" t="s">
        <v>1373</v>
      </c>
      <c r="D605" s="12" t="s">
        <v>1828</v>
      </c>
      <c r="E605" s="14">
        <v>250</v>
      </c>
      <c r="F605" s="23">
        <v>0.48</v>
      </c>
      <c r="G605" s="14">
        <v>0</v>
      </c>
      <c r="H605" s="25" t="s">
        <v>1615</v>
      </c>
      <c r="I605" s="12"/>
    </row>
    <row r="606" spans="1:9" x14ac:dyDescent="0.3">
      <c r="A606" s="11"/>
      <c r="B606" s="12" t="s">
        <v>156</v>
      </c>
      <c r="C606" s="12" t="s">
        <v>1374</v>
      </c>
      <c r="D606" s="12" t="s">
        <v>1714</v>
      </c>
      <c r="E606" s="14">
        <v>320</v>
      </c>
      <c r="F606" s="23">
        <v>0.68</v>
      </c>
      <c r="G606" s="14">
        <v>0</v>
      </c>
      <c r="H606" s="25" t="s">
        <v>1615</v>
      </c>
      <c r="I606" s="12"/>
    </row>
    <row r="607" spans="1:9" x14ac:dyDescent="0.3">
      <c r="A607" s="11"/>
      <c r="B607" s="12" t="s">
        <v>156</v>
      </c>
      <c r="C607" s="12" t="s">
        <v>1375</v>
      </c>
      <c r="D607" s="12" t="s">
        <v>1714</v>
      </c>
      <c r="E607" s="14">
        <v>112.5</v>
      </c>
      <c r="F607" s="23">
        <v>0.67</v>
      </c>
      <c r="G607" s="14">
        <v>0</v>
      </c>
      <c r="H607" s="25" t="s">
        <v>1615</v>
      </c>
      <c r="I607" s="12"/>
    </row>
    <row r="608" spans="1:9" x14ac:dyDescent="0.3">
      <c r="A608" s="11"/>
      <c r="B608" s="12" t="s">
        <v>156</v>
      </c>
      <c r="C608" s="12" t="s">
        <v>1376</v>
      </c>
      <c r="D608" s="12" t="s">
        <v>1741</v>
      </c>
      <c r="E608" s="14">
        <v>400</v>
      </c>
      <c r="F608" s="23">
        <v>0.75</v>
      </c>
      <c r="G608" s="14">
        <v>21.9</v>
      </c>
      <c r="H608" s="25" t="s">
        <v>1615</v>
      </c>
      <c r="I608" s="12"/>
    </row>
    <row r="609" spans="1:9" x14ac:dyDescent="0.3">
      <c r="A609" s="11"/>
      <c r="B609" s="12" t="s">
        <v>156</v>
      </c>
      <c r="C609" s="12" t="s">
        <v>1377</v>
      </c>
      <c r="D609" s="12" t="s">
        <v>1741</v>
      </c>
      <c r="E609" s="14">
        <v>200</v>
      </c>
      <c r="F609" s="23">
        <v>0.48</v>
      </c>
      <c r="G609" s="14">
        <v>0</v>
      </c>
      <c r="H609" s="25" t="s">
        <v>1615</v>
      </c>
      <c r="I609" s="12"/>
    </row>
    <row r="610" spans="1:9" x14ac:dyDescent="0.3">
      <c r="A610" s="11"/>
      <c r="B610" s="12" t="s">
        <v>156</v>
      </c>
      <c r="C610" s="12" t="s">
        <v>1378</v>
      </c>
      <c r="D610" s="12" t="s">
        <v>1656</v>
      </c>
      <c r="E610" s="14">
        <v>100</v>
      </c>
      <c r="F610" s="23">
        <v>0.74</v>
      </c>
      <c r="G610" s="14">
        <v>20.47</v>
      </c>
      <c r="H610" s="25" t="s">
        <v>1615</v>
      </c>
      <c r="I610" s="12"/>
    </row>
    <row r="611" spans="1:9" x14ac:dyDescent="0.3">
      <c r="A611" s="11"/>
      <c r="B611" s="12" t="s">
        <v>156</v>
      </c>
      <c r="C611" s="12" t="s">
        <v>1379</v>
      </c>
      <c r="D611" s="12" t="s">
        <v>1656</v>
      </c>
      <c r="E611" s="14">
        <v>75</v>
      </c>
      <c r="F611" s="23">
        <v>0.45</v>
      </c>
      <c r="G611" s="14">
        <v>0</v>
      </c>
      <c r="H611" s="25" t="s">
        <v>1615</v>
      </c>
      <c r="I611" s="12"/>
    </row>
    <row r="612" spans="1:9" x14ac:dyDescent="0.3">
      <c r="A612" s="11"/>
      <c r="B612" s="12" t="s">
        <v>156</v>
      </c>
      <c r="C612" s="12" t="s">
        <v>1380</v>
      </c>
      <c r="D612" s="12" t="s">
        <v>1765</v>
      </c>
      <c r="E612" s="14">
        <v>150</v>
      </c>
      <c r="F612" s="23">
        <v>0.71</v>
      </c>
      <c r="G612" s="14">
        <v>24.75</v>
      </c>
      <c r="H612" s="25" t="s">
        <v>1615</v>
      </c>
      <c r="I612" s="12"/>
    </row>
    <row r="613" spans="1:9" x14ac:dyDescent="0.3">
      <c r="A613" s="11"/>
      <c r="B613" s="12" t="s">
        <v>156</v>
      </c>
      <c r="C613" s="12" t="s">
        <v>1381</v>
      </c>
      <c r="D613" s="12" t="s">
        <v>1741</v>
      </c>
      <c r="E613" s="14">
        <v>112.5</v>
      </c>
      <c r="F613" s="23">
        <v>0.57999999999999996</v>
      </c>
      <c r="G613" s="14">
        <v>0</v>
      </c>
      <c r="H613" s="25" t="s">
        <v>1615</v>
      </c>
      <c r="I613" s="12"/>
    </row>
    <row r="614" spans="1:9" x14ac:dyDescent="0.3">
      <c r="A614" s="11"/>
      <c r="B614" s="12" t="s">
        <v>156</v>
      </c>
      <c r="C614" s="12" t="s">
        <v>1382</v>
      </c>
      <c r="D614" s="12" t="s">
        <v>1741</v>
      </c>
      <c r="E614" s="14">
        <v>320</v>
      </c>
      <c r="F614" s="23">
        <v>0.71</v>
      </c>
      <c r="G614" s="14">
        <v>0</v>
      </c>
      <c r="H614" s="25" t="s">
        <v>1615</v>
      </c>
      <c r="I614" s="12"/>
    </row>
    <row r="615" spans="1:9" x14ac:dyDescent="0.3">
      <c r="A615" s="11"/>
      <c r="B615" s="12" t="s">
        <v>156</v>
      </c>
      <c r="C615" s="12" t="s">
        <v>1383</v>
      </c>
      <c r="D615" s="12" t="s">
        <v>1741</v>
      </c>
      <c r="E615" s="14">
        <v>75</v>
      </c>
      <c r="F615" s="23">
        <v>0.65</v>
      </c>
      <c r="G615" s="14">
        <v>0</v>
      </c>
      <c r="H615" s="25" t="s">
        <v>1615</v>
      </c>
      <c r="I615" s="12"/>
    </row>
    <row r="616" spans="1:9" x14ac:dyDescent="0.3">
      <c r="A616" s="11"/>
      <c r="B616" s="12" t="s">
        <v>151</v>
      </c>
      <c r="C616" s="12" t="s">
        <v>1384</v>
      </c>
      <c r="D616" s="12" t="s">
        <v>1697</v>
      </c>
      <c r="E616" s="14">
        <v>150</v>
      </c>
      <c r="F616" s="23">
        <v>0.71</v>
      </c>
      <c r="G616" s="14">
        <v>0</v>
      </c>
      <c r="H616" s="25" t="s">
        <v>1615</v>
      </c>
      <c r="I616" s="12"/>
    </row>
    <row r="617" spans="1:9" x14ac:dyDescent="0.3">
      <c r="A617" s="11"/>
      <c r="B617" s="12" t="s">
        <v>152</v>
      </c>
      <c r="C617" s="12" t="s">
        <v>1385</v>
      </c>
      <c r="D617" s="12" t="s">
        <v>1652</v>
      </c>
      <c r="E617" s="14">
        <v>100</v>
      </c>
      <c r="F617" s="23">
        <v>0.71</v>
      </c>
      <c r="G617" s="14">
        <v>0</v>
      </c>
      <c r="H617" s="25" t="s">
        <v>1615</v>
      </c>
      <c r="I617" s="12"/>
    </row>
    <row r="618" spans="1:9" x14ac:dyDescent="0.3">
      <c r="A618" s="11"/>
      <c r="B618" s="12" t="s">
        <v>156</v>
      </c>
      <c r="C618" s="12" t="s">
        <v>1386</v>
      </c>
      <c r="D618" s="25" t="s">
        <v>1876</v>
      </c>
      <c r="E618" s="14">
        <v>100</v>
      </c>
      <c r="F618" s="23">
        <v>0.68</v>
      </c>
      <c r="G618" s="14">
        <v>0</v>
      </c>
      <c r="H618" s="25" t="s">
        <v>1615</v>
      </c>
      <c r="I618" s="12"/>
    </row>
    <row r="619" spans="1:9" x14ac:dyDescent="0.3">
      <c r="A619" s="11"/>
      <c r="B619" s="12" t="s">
        <v>155</v>
      </c>
      <c r="C619" s="12" t="s">
        <v>1387</v>
      </c>
      <c r="D619" s="25" t="s">
        <v>1881</v>
      </c>
      <c r="E619" s="14">
        <v>300</v>
      </c>
      <c r="F619" s="23">
        <v>0.59</v>
      </c>
      <c r="G619" s="14">
        <v>0</v>
      </c>
      <c r="H619" s="25" t="s">
        <v>1615</v>
      </c>
      <c r="I619" s="12"/>
    </row>
    <row r="620" spans="1:9" x14ac:dyDescent="0.3">
      <c r="A620" s="11"/>
      <c r="B620" s="12" t="s">
        <v>155</v>
      </c>
      <c r="C620" s="12" t="s">
        <v>1388</v>
      </c>
      <c r="D620" s="12" t="s">
        <v>1829</v>
      </c>
      <c r="E620" s="14">
        <v>75</v>
      </c>
      <c r="F620" s="23">
        <v>0.68</v>
      </c>
      <c r="G620" s="14">
        <v>0</v>
      </c>
      <c r="H620" s="25" t="s">
        <v>1615</v>
      </c>
      <c r="I620" s="12"/>
    </row>
    <row r="621" spans="1:9" x14ac:dyDescent="0.3">
      <c r="A621" s="11"/>
      <c r="B621" s="12" t="s">
        <v>155</v>
      </c>
      <c r="C621" s="12" t="s">
        <v>1389</v>
      </c>
      <c r="D621" s="12" t="s">
        <v>1830</v>
      </c>
      <c r="E621" s="14">
        <v>150</v>
      </c>
      <c r="F621" s="23">
        <v>0.68</v>
      </c>
      <c r="G621" s="14">
        <v>0</v>
      </c>
      <c r="H621" s="25" t="s">
        <v>1615</v>
      </c>
      <c r="I621" s="12"/>
    </row>
    <row r="622" spans="1:9" x14ac:dyDescent="0.3">
      <c r="A622" s="11"/>
      <c r="B622" s="12" t="s">
        <v>155</v>
      </c>
      <c r="C622" s="12" t="s">
        <v>1390</v>
      </c>
      <c r="D622" s="12" t="s">
        <v>1829</v>
      </c>
      <c r="E622" s="14">
        <v>75</v>
      </c>
      <c r="F622" s="23">
        <v>0.48</v>
      </c>
      <c r="G622" s="14">
        <v>0</v>
      </c>
      <c r="H622" s="25" t="s">
        <v>1615</v>
      </c>
      <c r="I622" s="12"/>
    </row>
    <row r="623" spans="1:9" x14ac:dyDescent="0.3">
      <c r="A623" s="11"/>
      <c r="B623" s="12" t="s">
        <v>155</v>
      </c>
      <c r="C623" s="12" t="s">
        <v>1391</v>
      </c>
      <c r="D623" s="12" t="s">
        <v>1829</v>
      </c>
      <c r="E623" s="14">
        <v>200</v>
      </c>
      <c r="F623" s="23">
        <v>0.67</v>
      </c>
      <c r="G623" s="14">
        <v>0</v>
      </c>
      <c r="H623" s="25" t="s">
        <v>1615</v>
      </c>
      <c r="I623" s="12"/>
    </row>
    <row r="624" spans="1:9" x14ac:dyDescent="0.3">
      <c r="A624" s="11"/>
      <c r="B624" s="12" t="s">
        <v>155</v>
      </c>
      <c r="C624" s="12" t="s">
        <v>1392</v>
      </c>
      <c r="D624" s="12" t="s">
        <v>1831</v>
      </c>
      <c r="E624" s="14">
        <v>150</v>
      </c>
      <c r="F624" s="23">
        <v>0.45</v>
      </c>
      <c r="G624" s="14">
        <v>0</v>
      </c>
      <c r="H624" s="25" t="s">
        <v>1615</v>
      </c>
      <c r="I624" s="12"/>
    </row>
    <row r="625" spans="1:9" x14ac:dyDescent="0.3">
      <c r="A625" s="11"/>
      <c r="B625" s="12" t="s">
        <v>155</v>
      </c>
      <c r="C625" s="12" t="s">
        <v>1393</v>
      </c>
      <c r="D625" s="12" t="s">
        <v>1831</v>
      </c>
      <c r="E625" s="14">
        <v>75</v>
      </c>
      <c r="F625" s="23">
        <v>0.69</v>
      </c>
      <c r="G625" s="14">
        <v>0</v>
      </c>
      <c r="H625" s="25" t="s">
        <v>1615</v>
      </c>
      <c r="I625" s="12"/>
    </row>
    <row r="626" spans="1:9" x14ac:dyDescent="0.3">
      <c r="A626" s="11"/>
      <c r="B626" s="12" t="s">
        <v>155</v>
      </c>
      <c r="C626" s="12" t="s">
        <v>1394</v>
      </c>
      <c r="D626" s="12" t="s">
        <v>1831</v>
      </c>
      <c r="E626" s="14">
        <v>75</v>
      </c>
      <c r="F626" s="23">
        <v>0.48</v>
      </c>
      <c r="G626" s="14">
        <v>0</v>
      </c>
      <c r="H626" s="25" t="s">
        <v>1615</v>
      </c>
      <c r="I626" s="12"/>
    </row>
    <row r="627" spans="1:9" x14ac:dyDescent="0.3">
      <c r="A627" s="11"/>
      <c r="B627" s="12" t="s">
        <v>155</v>
      </c>
      <c r="C627" s="12" t="s">
        <v>1395</v>
      </c>
      <c r="D627" s="12" t="s">
        <v>1832</v>
      </c>
      <c r="E627" s="14">
        <v>100</v>
      </c>
      <c r="F627" s="23">
        <v>0.45</v>
      </c>
      <c r="G627" s="14">
        <v>0</v>
      </c>
      <c r="H627" s="25" t="s">
        <v>1615</v>
      </c>
      <c r="I627" s="12"/>
    </row>
    <row r="628" spans="1:9" x14ac:dyDescent="0.3">
      <c r="A628" s="11"/>
      <c r="B628" s="12" t="s">
        <v>155</v>
      </c>
      <c r="C628" s="12" t="s">
        <v>1396</v>
      </c>
      <c r="D628" s="12" t="s">
        <v>1832</v>
      </c>
      <c r="E628" s="14">
        <v>150</v>
      </c>
      <c r="F628" s="23">
        <v>0.49</v>
      </c>
      <c r="G628" s="14">
        <v>0</v>
      </c>
      <c r="H628" s="25" t="s">
        <v>1615</v>
      </c>
      <c r="I628" s="12"/>
    </row>
    <row r="629" spans="1:9" x14ac:dyDescent="0.3">
      <c r="A629" s="11"/>
      <c r="B629" s="12" t="s">
        <v>155</v>
      </c>
      <c r="C629" s="12" t="s">
        <v>1397</v>
      </c>
      <c r="D629" s="12" t="s">
        <v>1833</v>
      </c>
      <c r="E629" s="14">
        <v>112.5</v>
      </c>
      <c r="F629" s="23">
        <v>0.46</v>
      </c>
      <c r="G629" s="14">
        <v>0</v>
      </c>
      <c r="H629" s="25" t="s">
        <v>1615</v>
      </c>
      <c r="I629" s="12"/>
    </row>
    <row r="630" spans="1:9" x14ac:dyDescent="0.3">
      <c r="A630" s="11"/>
      <c r="B630" s="12" t="s">
        <v>155</v>
      </c>
      <c r="C630" s="12" t="s">
        <v>1398</v>
      </c>
      <c r="D630" s="12" t="s">
        <v>1833</v>
      </c>
      <c r="E630" s="14">
        <v>37.5</v>
      </c>
      <c r="F630" s="23">
        <v>0.73</v>
      </c>
      <c r="G630" s="14">
        <v>0</v>
      </c>
      <c r="H630" s="25" t="s">
        <v>1615</v>
      </c>
      <c r="I630" s="12"/>
    </row>
    <row r="631" spans="1:9" x14ac:dyDescent="0.3">
      <c r="A631" s="11"/>
      <c r="B631" s="12" t="s">
        <v>155</v>
      </c>
      <c r="C631" s="12" t="s">
        <v>1399</v>
      </c>
      <c r="D631" s="12" t="s">
        <v>1833</v>
      </c>
      <c r="E631" s="14">
        <v>150</v>
      </c>
      <c r="F631" s="23">
        <v>0.72</v>
      </c>
      <c r="G631" s="14">
        <v>0</v>
      </c>
      <c r="H631" s="25" t="s">
        <v>1615</v>
      </c>
      <c r="I631" s="12"/>
    </row>
    <row r="632" spans="1:9" x14ac:dyDescent="0.3">
      <c r="A632" s="11"/>
      <c r="B632" s="12" t="s">
        <v>155</v>
      </c>
      <c r="C632" s="12" t="s">
        <v>1400</v>
      </c>
      <c r="D632" s="12" t="s">
        <v>1834</v>
      </c>
      <c r="E632" s="14">
        <v>100</v>
      </c>
      <c r="F632" s="23">
        <v>0.73</v>
      </c>
      <c r="G632" s="14">
        <v>0</v>
      </c>
      <c r="H632" s="25" t="s">
        <v>1615</v>
      </c>
      <c r="I632" s="12"/>
    </row>
    <row r="633" spans="1:9" x14ac:dyDescent="0.3">
      <c r="A633" s="11"/>
      <c r="B633" s="12" t="s">
        <v>155</v>
      </c>
      <c r="C633" s="12" t="s">
        <v>1401</v>
      </c>
      <c r="D633" s="12" t="s">
        <v>1832</v>
      </c>
      <c r="E633" s="14">
        <v>100</v>
      </c>
      <c r="F633" s="23">
        <v>0.54</v>
      </c>
      <c r="G633" s="14">
        <v>0</v>
      </c>
      <c r="H633" s="25" t="s">
        <v>1615</v>
      </c>
      <c r="I633" s="12"/>
    </row>
    <row r="634" spans="1:9" x14ac:dyDescent="0.3">
      <c r="A634" s="11"/>
      <c r="B634" s="12" t="s">
        <v>155</v>
      </c>
      <c r="C634" s="12" t="s">
        <v>1402</v>
      </c>
      <c r="D634" s="12" t="s">
        <v>1829</v>
      </c>
      <c r="E634" s="14">
        <v>100</v>
      </c>
      <c r="F634" s="23">
        <v>0.45</v>
      </c>
      <c r="G634" s="14">
        <v>0</v>
      </c>
      <c r="H634" s="25" t="s">
        <v>1615</v>
      </c>
      <c r="I634" s="12"/>
    </row>
    <row r="635" spans="1:9" x14ac:dyDescent="0.3">
      <c r="A635" s="11"/>
      <c r="B635" s="12" t="s">
        <v>155</v>
      </c>
      <c r="C635" s="12" t="s">
        <v>1403</v>
      </c>
      <c r="D635" s="12" t="s">
        <v>1675</v>
      </c>
      <c r="E635" s="14">
        <v>75</v>
      </c>
      <c r="F635" s="23">
        <v>0.62</v>
      </c>
      <c r="G635" s="14">
        <v>0</v>
      </c>
      <c r="H635" s="25" t="s">
        <v>1615</v>
      </c>
      <c r="I635" s="12"/>
    </row>
    <row r="636" spans="1:9" x14ac:dyDescent="0.3">
      <c r="A636" s="11"/>
      <c r="B636" s="12" t="s">
        <v>155</v>
      </c>
      <c r="C636" s="12" t="s">
        <v>1404</v>
      </c>
      <c r="D636" s="12" t="s">
        <v>1787</v>
      </c>
      <c r="E636" s="14">
        <v>150</v>
      </c>
      <c r="F636" s="23">
        <v>0.68</v>
      </c>
      <c r="G636" s="14">
        <v>0</v>
      </c>
      <c r="H636" s="25" t="s">
        <v>1615</v>
      </c>
      <c r="I636" s="12"/>
    </row>
    <row r="637" spans="1:9" x14ac:dyDescent="0.3">
      <c r="A637" s="11"/>
      <c r="B637" s="12" t="s">
        <v>155</v>
      </c>
      <c r="C637" s="12" t="s">
        <v>1405</v>
      </c>
      <c r="D637" s="12" t="s">
        <v>1787</v>
      </c>
      <c r="E637" s="14">
        <v>100</v>
      </c>
      <c r="F637" s="23">
        <v>0.56999999999999995</v>
      </c>
      <c r="G637" s="14">
        <v>0</v>
      </c>
      <c r="H637" s="25" t="s">
        <v>1615</v>
      </c>
      <c r="I637" s="12"/>
    </row>
    <row r="638" spans="1:9" x14ac:dyDescent="0.3">
      <c r="A638" s="11"/>
      <c r="B638" s="12" t="s">
        <v>155</v>
      </c>
      <c r="C638" s="12" t="s">
        <v>1406</v>
      </c>
      <c r="D638" s="12" t="s">
        <v>1835</v>
      </c>
      <c r="E638" s="14">
        <v>150</v>
      </c>
      <c r="F638" s="23">
        <v>0.65</v>
      </c>
      <c r="G638" s="14">
        <v>0</v>
      </c>
      <c r="H638" s="25" t="s">
        <v>1615</v>
      </c>
      <c r="I638" s="12"/>
    </row>
    <row r="639" spans="1:9" x14ac:dyDescent="0.3">
      <c r="A639" s="11"/>
      <c r="B639" s="12" t="s">
        <v>155</v>
      </c>
      <c r="C639" s="12" t="s">
        <v>1407</v>
      </c>
      <c r="D639" s="12" t="s">
        <v>1836</v>
      </c>
      <c r="E639" s="14">
        <v>150</v>
      </c>
      <c r="F639" s="23">
        <v>0.56999999999999995</v>
      </c>
      <c r="G639" s="14">
        <v>0</v>
      </c>
      <c r="H639" s="25" t="s">
        <v>1615</v>
      </c>
      <c r="I639" s="12"/>
    </row>
    <row r="640" spans="1:9" x14ac:dyDescent="0.3">
      <c r="A640" s="11"/>
      <c r="B640" s="12" t="s">
        <v>155</v>
      </c>
      <c r="C640" s="12" t="s">
        <v>1408</v>
      </c>
      <c r="D640" s="12" t="s">
        <v>1830</v>
      </c>
      <c r="E640" s="14">
        <v>100</v>
      </c>
      <c r="F640" s="23">
        <v>0.5</v>
      </c>
      <c r="G640" s="14">
        <v>0</v>
      </c>
      <c r="H640" s="25" t="s">
        <v>1615</v>
      </c>
      <c r="I640" s="12"/>
    </row>
    <row r="641" spans="1:9" x14ac:dyDescent="0.3">
      <c r="A641" s="11"/>
      <c r="B641" s="12" t="s">
        <v>155</v>
      </c>
      <c r="C641" s="12" t="s">
        <v>1409</v>
      </c>
      <c r="D641" s="12" t="s">
        <v>1837</v>
      </c>
      <c r="E641" s="14">
        <v>75</v>
      </c>
      <c r="F641" s="23">
        <v>0.68</v>
      </c>
      <c r="G641" s="14">
        <v>0</v>
      </c>
      <c r="H641" s="25" t="s">
        <v>1615</v>
      </c>
      <c r="I641" s="12"/>
    </row>
    <row r="642" spans="1:9" x14ac:dyDescent="0.3">
      <c r="A642" s="11"/>
      <c r="B642" s="12" t="s">
        <v>155</v>
      </c>
      <c r="C642" s="12" t="s">
        <v>1410</v>
      </c>
      <c r="D642" s="12" t="s">
        <v>1830</v>
      </c>
      <c r="E642" s="14">
        <v>100</v>
      </c>
      <c r="F642" s="23">
        <v>0.65</v>
      </c>
      <c r="G642" s="14">
        <v>0</v>
      </c>
      <c r="H642" s="25" t="s">
        <v>1615</v>
      </c>
      <c r="I642" s="12"/>
    </row>
    <row r="643" spans="1:9" x14ac:dyDescent="0.3">
      <c r="A643" s="11"/>
      <c r="B643" s="12" t="s">
        <v>155</v>
      </c>
      <c r="C643" s="12" t="s">
        <v>1411</v>
      </c>
      <c r="D643" s="12" t="s">
        <v>1836</v>
      </c>
      <c r="E643" s="14">
        <v>100</v>
      </c>
      <c r="F643" s="23">
        <v>0.67</v>
      </c>
      <c r="G643" s="14">
        <v>0</v>
      </c>
      <c r="H643" s="25" t="s">
        <v>1615</v>
      </c>
      <c r="I643" s="12"/>
    </row>
    <row r="644" spans="1:9" x14ac:dyDescent="0.3">
      <c r="A644" s="11"/>
      <c r="B644" s="12" t="s">
        <v>155</v>
      </c>
      <c r="C644" s="12" t="s">
        <v>1412</v>
      </c>
      <c r="D644" s="12" t="s">
        <v>1831</v>
      </c>
      <c r="E644" s="14">
        <v>100</v>
      </c>
      <c r="F644" s="23">
        <v>0.62</v>
      </c>
      <c r="G644" s="14">
        <v>0</v>
      </c>
      <c r="H644" s="25" t="s">
        <v>1615</v>
      </c>
      <c r="I644" s="12"/>
    </row>
    <row r="645" spans="1:9" x14ac:dyDescent="0.3">
      <c r="A645" s="11"/>
      <c r="B645" s="12" t="s">
        <v>156</v>
      </c>
      <c r="C645" s="12" t="s">
        <v>1413</v>
      </c>
      <c r="D645" s="25" t="s">
        <v>1797</v>
      </c>
      <c r="E645" s="14">
        <v>100</v>
      </c>
      <c r="F645" s="23">
        <v>0.62</v>
      </c>
      <c r="G645" s="14">
        <v>0</v>
      </c>
      <c r="H645" s="25" t="s">
        <v>1615</v>
      </c>
      <c r="I645" s="12"/>
    </row>
    <row r="646" spans="1:9" x14ac:dyDescent="0.3">
      <c r="A646" s="11"/>
      <c r="B646" s="12" t="s">
        <v>156</v>
      </c>
      <c r="C646" s="12" t="s">
        <v>1414</v>
      </c>
      <c r="D646" s="25" t="s">
        <v>1797</v>
      </c>
      <c r="E646" s="14">
        <v>100</v>
      </c>
      <c r="F646" s="23">
        <v>0.68</v>
      </c>
      <c r="G646" s="14">
        <v>0</v>
      </c>
      <c r="H646" s="25" t="s">
        <v>1615</v>
      </c>
      <c r="I646" s="12"/>
    </row>
    <row r="647" spans="1:9" x14ac:dyDescent="0.3">
      <c r="A647" s="11"/>
      <c r="B647" s="12" t="s">
        <v>156</v>
      </c>
      <c r="C647" s="12" t="s">
        <v>1415</v>
      </c>
      <c r="D647" s="25" t="s">
        <v>1797</v>
      </c>
      <c r="E647" s="14">
        <v>200</v>
      </c>
      <c r="F647" s="23">
        <v>0.71</v>
      </c>
      <c r="G647" s="14">
        <v>0</v>
      </c>
      <c r="H647" s="25" t="s">
        <v>1615</v>
      </c>
      <c r="I647" s="12"/>
    </row>
    <row r="648" spans="1:9" x14ac:dyDescent="0.3">
      <c r="A648" s="11"/>
      <c r="B648" s="12" t="s">
        <v>156</v>
      </c>
      <c r="C648" s="12" t="s">
        <v>1416</v>
      </c>
      <c r="D648" s="25" t="s">
        <v>1797</v>
      </c>
      <c r="E648" s="14">
        <v>150</v>
      </c>
      <c r="F648" s="23">
        <v>0.66</v>
      </c>
      <c r="G648" s="14">
        <v>0</v>
      </c>
      <c r="H648" s="25" t="s">
        <v>1615</v>
      </c>
      <c r="I648" s="12"/>
    </row>
    <row r="649" spans="1:9" x14ac:dyDescent="0.3">
      <c r="A649" s="11"/>
      <c r="B649" s="12" t="s">
        <v>156</v>
      </c>
      <c r="C649" s="12" t="s">
        <v>1417</v>
      </c>
      <c r="D649" s="12" t="s">
        <v>1796</v>
      </c>
      <c r="E649" s="14">
        <v>150</v>
      </c>
      <c r="F649" s="23">
        <v>0.69</v>
      </c>
      <c r="G649" s="14">
        <v>0</v>
      </c>
      <c r="H649" s="25" t="s">
        <v>1615</v>
      </c>
      <c r="I649" s="12"/>
    </row>
    <row r="650" spans="1:9" x14ac:dyDescent="0.3">
      <c r="A650" s="11"/>
      <c r="B650" s="12" t="s">
        <v>156</v>
      </c>
      <c r="C650" s="12" t="s">
        <v>1418</v>
      </c>
      <c r="D650" s="12" t="s">
        <v>1796</v>
      </c>
      <c r="E650" s="14">
        <v>200</v>
      </c>
      <c r="F650" s="23">
        <v>0.75</v>
      </c>
      <c r="G650" s="14">
        <v>0</v>
      </c>
      <c r="H650" s="25" t="s">
        <v>1615</v>
      </c>
      <c r="I650" s="12"/>
    </row>
    <row r="651" spans="1:9" x14ac:dyDescent="0.3">
      <c r="A651" s="11"/>
      <c r="B651" s="12" t="s">
        <v>155</v>
      </c>
      <c r="C651" s="12" t="s">
        <v>1419</v>
      </c>
      <c r="D651" s="12" t="s">
        <v>1838</v>
      </c>
      <c r="E651" s="14">
        <v>75</v>
      </c>
      <c r="F651" s="23">
        <v>0.55000000000000004</v>
      </c>
      <c r="G651" s="14">
        <v>0</v>
      </c>
      <c r="H651" s="25" t="s">
        <v>1615</v>
      </c>
      <c r="I651" s="12"/>
    </row>
    <row r="652" spans="1:9" x14ac:dyDescent="0.3">
      <c r="A652" s="11"/>
      <c r="B652" s="12" t="s">
        <v>155</v>
      </c>
      <c r="C652" s="12" t="s">
        <v>1420</v>
      </c>
      <c r="D652" s="25" t="s">
        <v>1838</v>
      </c>
      <c r="E652" s="14">
        <v>100</v>
      </c>
      <c r="F652" s="23">
        <v>0.47</v>
      </c>
      <c r="G652" s="14">
        <v>0</v>
      </c>
      <c r="H652" s="25" t="s">
        <v>1615</v>
      </c>
      <c r="I652" s="12"/>
    </row>
    <row r="653" spans="1:9" x14ac:dyDescent="0.3">
      <c r="A653" s="11"/>
      <c r="B653" s="12" t="s">
        <v>155</v>
      </c>
      <c r="C653" s="12" t="s">
        <v>1421</v>
      </c>
      <c r="D653" s="25" t="s">
        <v>1838</v>
      </c>
      <c r="E653" s="14">
        <v>150</v>
      </c>
      <c r="F653" s="23">
        <v>0.74</v>
      </c>
      <c r="G653" s="14">
        <v>0</v>
      </c>
      <c r="H653" s="25" t="s">
        <v>1615</v>
      </c>
      <c r="I653" s="12"/>
    </row>
    <row r="654" spans="1:9" x14ac:dyDescent="0.3">
      <c r="A654" s="11"/>
      <c r="B654" s="12" t="s">
        <v>155</v>
      </c>
      <c r="C654" s="12" t="s">
        <v>1422</v>
      </c>
      <c r="D654" s="25" t="s">
        <v>1838</v>
      </c>
      <c r="E654" s="14">
        <v>100</v>
      </c>
      <c r="F654" s="23">
        <v>0.52</v>
      </c>
      <c r="G654" s="14">
        <v>0</v>
      </c>
      <c r="H654" s="25" t="s">
        <v>1615</v>
      </c>
      <c r="I654" s="12"/>
    </row>
    <row r="655" spans="1:9" x14ac:dyDescent="0.3">
      <c r="A655" s="11"/>
      <c r="B655" s="12" t="s">
        <v>155</v>
      </c>
      <c r="C655" s="12" t="s">
        <v>1423</v>
      </c>
      <c r="D655" s="25" t="s">
        <v>1838</v>
      </c>
      <c r="E655" s="14">
        <v>100</v>
      </c>
      <c r="F655" s="23">
        <v>0.67</v>
      </c>
      <c r="G655" s="14">
        <v>8.1999999999999993</v>
      </c>
      <c r="H655" s="25" t="s">
        <v>1615</v>
      </c>
      <c r="I655" s="12"/>
    </row>
    <row r="656" spans="1:9" x14ac:dyDescent="0.3">
      <c r="A656" s="11"/>
      <c r="B656" s="12" t="s">
        <v>155</v>
      </c>
      <c r="C656" s="12" t="s">
        <v>1424</v>
      </c>
      <c r="D656" s="25" t="s">
        <v>1838</v>
      </c>
      <c r="E656" s="14">
        <v>150</v>
      </c>
      <c r="F656" s="23">
        <v>0.56000000000000005</v>
      </c>
      <c r="G656" s="14">
        <v>0</v>
      </c>
      <c r="H656" s="25" t="s">
        <v>1615</v>
      </c>
      <c r="I656" s="12"/>
    </row>
    <row r="657" spans="1:9" x14ac:dyDescent="0.3">
      <c r="A657" s="11"/>
      <c r="B657" s="12" t="s">
        <v>155</v>
      </c>
      <c r="C657" s="12" t="s">
        <v>1425</v>
      </c>
      <c r="D657" s="25" t="s">
        <v>1838</v>
      </c>
      <c r="E657" s="14">
        <v>150</v>
      </c>
      <c r="F657" s="23">
        <v>0.47</v>
      </c>
      <c r="G657" s="14">
        <v>0</v>
      </c>
      <c r="H657" s="25" t="s">
        <v>1615</v>
      </c>
      <c r="I657" s="12"/>
    </row>
    <row r="658" spans="1:9" x14ac:dyDescent="0.3">
      <c r="A658" s="11"/>
      <c r="B658" s="12" t="s">
        <v>155</v>
      </c>
      <c r="C658" s="12" t="s">
        <v>1426</v>
      </c>
      <c r="D658" s="25" t="s">
        <v>1838</v>
      </c>
      <c r="E658" s="14">
        <v>100</v>
      </c>
      <c r="F658" s="23">
        <v>0.63</v>
      </c>
      <c r="G658" s="14">
        <v>0</v>
      </c>
      <c r="H658" s="25" t="s">
        <v>1615</v>
      </c>
      <c r="I658" s="12"/>
    </row>
    <row r="659" spans="1:9" x14ac:dyDescent="0.3">
      <c r="A659" s="11"/>
      <c r="B659" s="12" t="s">
        <v>155</v>
      </c>
      <c r="C659" s="12" t="s">
        <v>1427</v>
      </c>
      <c r="D659" s="25" t="s">
        <v>1838</v>
      </c>
      <c r="E659" s="14">
        <v>100</v>
      </c>
      <c r="F659" s="23">
        <v>0.62</v>
      </c>
      <c r="G659" s="14">
        <v>0</v>
      </c>
      <c r="H659" s="25" t="s">
        <v>1615</v>
      </c>
      <c r="I659" s="12"/>
    </row>
    <row r="660" spans="1:9" x14ac:dyDescent="0.3">
      <c r="A660" s="11"/>
      <c r="B660" s="12" t="s">
        <v>155</v>
      </c>
      <c r="C660" s="12" t="s">
        <v>1428</v>
      </c>
      <c r="D660" s="12" t="s">
        <v>1832</v>
      </c>
      <c r="E660" s="14">
        <v>37.5</v>
      </c>
      <c r="F660" s="23">
        <v>0.48</v>
      </c>
      <c r="G660" s="14">
        <v>0</v>
      </c>
      <c r="H660" s="25" t="s">
        <v>1615</v>
      </c>
      <c r="I660" s="12"/>
    </row>
    <row r="661" spans="1:9" x14ac:dyDescent="0.3">
      <c r="A661" s="11"/>
      <c r="B661" s="12" t="s">
        <v>155</v>
      </c>
      <c r="C661" s="12" t="s">
        <v>1429</v>
      </c>
      <c r="D661" s="25" t="s">
        <v>1882</v>
      </c>
      <c r="E661" s="14">
        <v>300</v>
      </c>
      <c r="F661" s="23">
        <v>0.71</v>
      </c>
      <c r="G661" s="14">
        <v>0</v>
      </c>
      <c r="H661" s="25" t="s">
        <v>1615</v>
      </c>
      <c r="I661" s="12"/>
    </row>
    <row r="662" spans="1:9" x14ac:dyDescent="0.3">
      <c r="A662" s="11"/>
      <c r="B662" s="12" t="s">
        <v>155</v>
      </c>
      <c r="C662" s="12" t="s">
        <v>1430</v>
      </c>
      <c r="D662" s="12" t="s">
        <v>1837</v>
      </c>
      <c r="E662" s="14">
        <v>160</v>
      </c>
      <c r="F662" s="23">
        <v>0.52</v>
      </c>
      <c r="G662" s="14">
        <v>0</v>
      </c>
      <c r="H662" s="25" t="s">
        <v>1615</v>
      </c>
      <c r="I662" s="12"/>
    </row>
    <row r="663" spans="1:9" x14ac:dyDescent="0.3">
      <c r="A663" s="11"/>
      <c r="B663" s="12" t="s">
        <v>155</v>
      </c>
      <c r="C663" s="12" t="s">
        <v>1431</v>
      </c>
      <c r="D663" s="25" t="s">
        <v>1835</v>
      </c>
      <c r="E663" s="14">
        <v>160</v>
      </c>
      <c r="F663" s="23">
        <v>0.5</v>
      </c>
      <c r="G663" s="14">
        <v>0</v>
      </c>
      <c r="H663" s="25" t="s">
        <v>1615</v>
      </c>
      <c r="I663" s="12"/>
    </row>
    <row r="664" spans="1:9" x14ac:dyDescent="0.3">
      <c r="A664" s="11"/>
      <c r="B664" s="12" t="s">
        <v>155</v>
      </c>
      <c r="C664" s="12" t="s">
        <v>1432</v>
      </c>
      <c r="D664" s="12" t="s">
        <v>1835</v>
      </c>
      <c r="E664" s="14">
        <v>150</v>
      </c>
      <c r="F664" s="23">
        <v>0.63</v>
      </c>
      <c r="G664" s="14">
        <v>0</v>
      </c>
      <c r="H664" s="25" t="s">
        <v>1615</v>
      </c>
      <c r="I664" s="12"/>
    </row>
    <row r="665" spans="1:9" x14ac:dyDescent="0.3">
      <c r="A665" s="11"/>
      <c r="B665" s="12" t="s">
        <v>155</v>
      </c>
      <c r="C665" s="12" t="s">
        <v>1433</v>
      </c>
      <c r="D665" s="12" t="s">
        <v>1839</v>
      </c>
      <c r="E665" s="14">
        <v>300</v>
      </c>
      <c r="F665" s="23">
        <v>0.56999999999999995</v>
      </c>
      <c r="G665" s="14">
        <v>0</v>
      </c>
      <c r="H665" s="25" t="s">
        <v>1615</v>
      </c>
      <c r="I665" s="12"/>
    </row>
    <row r="666" spans="1:9" x14ac:dyDescent="0.3">
      <c r="A666" s="11"/>
      <c r="B666" s="12" t="s">
        <v>155</v>
      </c>
      <c r="C666" s="12" t="s">
        <v>1434</v>
      </c>
      <c r="D666" s="12" t="s">
        <v>1840</v>
      </c>
      <c r="E666" s="14">
        <v>250</v>
      </c>
      <c r="F666" s="23">
        <v>0.56999999999999995</v>
      </c>
      <c r="G666" s="14">
        <v>0</v>
      </c>
      <c r="H666" s="25" t="s">
        <v>1615</v>
      </c>
      <c r="I666" s="12"/>
    </row>
    <row r="667" spans="1:9" x14ac:dyDescent="0.3">
      <c r="A667" s="11"/>
      <c r="B667" s="12" t="s">
        <v>155</v>
      </c>
      <c r="C667" s="12" t="s">
        <v>1435</v>
      </c>
      <c r="D667" s="25" t="s">
        <v>1787</v>
      </c>
      <c r="E667" s="14">
        <v>150</v>
      </c>
      <c r="F667" s="23">
        <v>0.65</v>
      </c>
      <c r="G667" s="14">
        <v>0</v>
      </c>
      <c r="H667" s="25" t="s">
        <v>1615</v>
      </c>
      <c r="I667" s="12"/>
    </row>
    <row r="668" spans="1:9" x14ac:dyDescent="0.3">
      <c r="A668" s="11"/>
      <c r="B668" s="12" t="s">
        <v>155</v>
      </c>
      <c r="C668" s="12" t="s">
        <v>1436</v>
      </c>
      <c r="D668" s="12" t="s">
        <v>1841</v>
      </c>
      <c r="E668" s="14">
        <v>150</v>
      </c>
      <c r="F668" s="23">
        <v>0.75</v>
      </c>
      <c r="G668" s="14">
        <v>0</v>
      </c>
      <c r="H668" s="25" t="s">
        <v>1615</v>
      </c>
      <c r="I668" s="12"/>
    </row>
    <row r="669" spans="1:9" x14ac:dyDescent="0.3">
      <c r="A669" s="11"/>
      <c r="B669" s="12" t="s">
        <v>155</v>
      </c>
      <c r="C669" s="12" t="s">
        <v>1437</v>
      </c>
      <c r="D669" s="12" t="s">
        <v>1835</v>
      </c>
      <c r="E669" s="14">
        <v>250</v>
      </c>
      <c r="F669" s="23">
        <v>0.5</v>
      </c>
      <c r="G669" s="14">
        <v>0</v>
      </c>
      <c r="H669" s="25" t="s">
        <v>1615</v>
      </c>
      <c r="I669" s="12"/>
    </row>
    <row r="670" spans="1:9" x14ac:dyDescent="0.3">
      <c r="A670" s="11"/>
      <c r="B670" s="12" t="s">
        <v>151</v>
      </c>
      <c r="C670" s="12" t="s">
        <v>1438</v>
      </c>
      <c r="D670" s="12" t="s">
        <v>1842</v>
      </c>
      <c r="E670" s="14">
        <v>225</v>
      </c>
      <c r="F670" s="23">
        <v>0.59</v>
      </c>
      <c r="G670" s="14">
        <v>0</v>
      </c>
      <c r="H670" s="25" t="s">
        <v>1615</v>
      </c>
      <c r="I670" s="12"/>
    </row>
    <row r="671" spans="1:9" x14ac:dyDescent="0.3">
      <c r="A671" s="11"/>
      <c r="B671" s="12" t="s">
        <v>151</v>
      </c>
      <c r="C671" s="12" t="s">
        <v>1439</v>
      </c>
      <c r="D671" s="12" t="s">
        <v>1755</v>
      </c>
      <c r="E671" s="14">
        <v>160</v>
      </c>
      <c r="F671" s="23">
        <v>0.61</v>
      </c>
      <c r="G671" s="14">
        <v>0</v>
      </c>
      <c r="H671" s="25" t="s">
        <v>1615</v>
      </c>
      <c r="I671" s="12"/>
    </row>
    <row r="672" spans="1:9" x14ac:dyDescent="0.3">
      <c r="A672" s="11"/>
      <c r="B672" s="12" t="s">
        <v>151</v>
      </c>
      <c r="C672" s="12" t="s">
        <v>1440</v>
      </c>
      <c r="D672" s="12" t="s">
        <v>1843</v>
      </c>
      <c r="E672" s="14">
        <v>320</v>
      </c>
      <c r="F672" s="23">
        <v>0.54</v>
      </c>
      <c r="G672" s="14">
        <v>3.96</v>
      </c>
      <c r="H672" s="25" t="s">
        <v>1615</v>
      </c>
      <c r="I672" s="12"/>
    </row>
    <row r="673" spans="1:9" x14ac:dyDescent="0.3">
      <c r="A673" s="11"/>
      <c r="B673" s="12" t="s">
        <v>151</v>
      </c>
      <c r="C673" s="12" t="s">
        <v>1441</v>
      </c>
      <c r="D673" s="12" t="s">
        <v>1844</v>
      </c>
      <c r="E673" s="14">
        <v>250</v>
      </c>
      <c r="F673" s="23">
        <v>0.74</v>
      </c>
      <c r="G673" s="14">
        <v>0</v>
      </c>
      <c r="H673" s="25" t="s">
        <v>1615</v>
      </c>
      <c r="I673" s="12"/>
    </row>
    <row r="674" spans="1:9" x14ac:dyDescent="0.3">
      <c r="A674" s="11"/>
      <c r="B674" s="12" t="s">
        <v>151</v>
      </c>
      <c r="C674" s="12" t="s">
        <v>1442</v>
      </c>
      <c r="D674" s="12" t="s">
        <v>1755</v>
      </c>
      <c r="E674" s="14">
        <v>250</v>
      </c>
      <c r="F674" s="23">
        <v>0.63</v>
      </c>
      <c r="G674" s="14">
        <v>11.7</v>
      </c>
      <c r="H674" s="25" t="s">
        <v>1615</v>
      </c>
      <c r="I674" s="12"/>
    </row>
    <row r="675" spans="1:9" x14ac:dyDescent="0.3">
      <c r="A675" s="11"/>
      <c r="B675" s="12" t="s">
        <v>151</v>
      </c>
      <c r="C675" s="12" t="s">
        <v>1443</v>
      </c>
      <c r="D675" s="12" t="s">
        <v>1755</v>
      </c>
      <c r="E675" s="14">
        <v>250</v>
      </c>
      <c r="F675" s="23">
        <v>0.73</v>
      </c>
      <c r="G675" s="14">
        <v>0</v>
      </c>
      <c r="H675" s="25" t="s">
        <v>1615</v>
      </c>
      <c r="I675" s="12"/>
    </row>
    <row r="676" spans="1:9" x14ac:dyDescent="0.3">
      <c r="A676" s="11"/>
      <c r="B676" s="12" t="s">
        <v>151</v>
      </c>
      <c r="C676" s="12" t="s">
        <v>1444</v>
      </c>
      <c r="D676" s="12" t="s">
        <v>1794</v>
      </c>
      <c r="E676" s="14">
        <v>250</v>
      </c>
      <c r="F676" s="23">
        <v>0.73</v>
      </c>
      <c r="G676" s="14">
        <v>0</v>
      </c>
      <c r="H676" s="25" t="s">
        <v>1615</v>
      </c>
      <c r="I676" s="12"/>
    </row>
    <row r="677" spans="1:9" x14ac:dyDescent="0.3">
      <c r="A677" s="11"/>
      <c r="B677" s="12" t="s">
        <v>156</v>
      </c>
      <c r="C677" s="12" t="s">
        <v>1445</v>
      </c>
      <c r="D677" s="12" t="s">
        <v>1699</v>
      </c>
      <c r="E677" s="14">
        <v>225</v>
      </c>
      <c r="F677" s="23">
        <v>0.74</v>
      </c>
      <c r="G677" s="14">
        <v>0</v>
      </c>
      <c r="H677" s="25" t="s">
        <v>1615</v>
      </c>
      <c r="I677" s="12"/>
    </row>
    <row r="678" spans="1:9" x14ac:dyDescent="0.3">
      <c r="A678" s="11"/>
      <c r="B678" s="12" t="s">
        <v>156</v>
      </c>
      <c r="C678" s="12" t="s">
        <v>1446</v>
      </c>
      <c r="D678" s="12" t="s">
        <v>1741</v>
      </c>
      <c r="E678" s="14">
        <v>250</v>
      </c>
      <c r="F678" s="23">
        <v>0.63</v>
      </c>
      <c r="G678" s="14">
        <v>0</v>
      </c>
      <c r="H678" s="25" t="s">
        <v>1615</v>
      </c>
      <c r="I678" s="12"/>
    </row>
    <row r="679" spans="1:9" x14ac:dyDescent="0.3">
      <c r="A679" s="11"/>
      <c r="B679" s="12" t="s">
        <v>156</v>
      </c>
      <c r="C679" s="12" t="s">
        <v>1447</v>
      </c>
      <c r="D679" s="12" t="s">
        <v>1741</v>
      </c>
      <c r="E679" s="14">
        <v>250</v>
      </c>
      <c r="F679" s="23">
        <v>0.66</v>
      </c>
      <c r="G679" s="14">
        <v>0</v>
      </c>
      <c r="H679" s="25" t="s">
        <v>1615</v>
      </c>
      <c r="I679" s="12"/>
    </row>
    <row r="680" spans="1:9" x14ac:dyDescent="0.3">
      <c r="A680" s="11"/>
      <c r="B680" s="12" t="s">
        <v>153</v>
      </c>
      <c r="C680" s="12" t="s">
        <v>1448</v>
      </c>
      <c r="D680" s="12" t="s">
        <v>1775</v>
      </c>
      <c r="E680" s="14">
        <v>250</v>
      </c>
      <c r="F680" s="23">
        <v>0.67</v>
      </c>
      <c r="G680" s="14">
        <v>0</v>
      </c>
      <c r="H680" s="25" t="s">
        <v>1615</v>
      </c>
      <c r="I680" s="12"/>
    </row>
    <row r="681" spans="1:9" x14ac:dyDescent="0.3">
      <c r="A681" s="11"/>
      <c r="B681" s="12" t="s">
        <v>153</v>
      </c>
      <c r="C681" s="12" t="s">
        <v>1449</v>
      </c>
      <c r="D681" s="12" t="s">
        <v>1845</v>
      </c>
      <c r="E681" s="14">
        <v>100</v>
      </c>
      <c r="F681" s="23">
        <v>0.53</v>
      </c>
      <c r="G681" s="14">
        <v>0</v>
      </c>
      <c r="H681" s="25" t="s">
        <v>1615</v>
      </c>
      <c r="I681" s="12"/>
    </row>
    <row r="682" spans="1:9" x14ac:dyDescent="0.3">
      <c r="A682" s="11"/>
      <c r="B682" s="12" t="s">
        <v>153</v>
      </c>
      <c r="C682" s="12" t="s">
        <v>1450</v>
      </c>
      <c r="D682" s="12" t="s">
        <v>1678</v>
      </c>
      <c r="E682" s="14">
        <v>75</v>
      </c>
      <c r="F682" s="23">
        <v>0.59</v>
      </c>
      <c r="G682" s="14">
        <v>0</v>
      </c>
      <c r="H682" s="25" t="s">
        <v>1615</v>
      </c>
      <c r="I682" s="12"/>
    </row>
    <row r="683" spans="1:9" x14ac:dyDescent="0.3">
      <c r="A683" s="11"/>
      <c r="B683" s="12" t="s">
        <v>153</v>
      </c>
      <c r="C683" s="12" t="s">
        <v>1451</v>
      </c>
      <c r="D683" s="12" t="s">
        <v>1678</v>
      </c>
      <c r="E683" s="14">
        <v>50</v>
      </c>
      <c r="F683" s="23">
        <v>0.56999999999999995</v>
      </c>
      <c r="G683" s="14">
        <v>0</v>
      </c>
      <c r="H683" s="25" t="s">
        <v>1615</v>
      </c>
      <c r="I683" s="12"/>
    </row>
    <row r="684" spans="1:9" x14ac:dyDescent="0.3">
      <c r="A684" s="11"/>
      <c r="B684" s="12" t="s">
        <v>153</v>
      </c>
      <c r="C684" s="12" t="s">
        <v>1452</v>
      </c>
      <c r="D684" s="12" t="s">
        <v>1846</v>
      </c>
      <c r="E684" s="14">
        <v>250</v>
      </c>
      <c r="F684" s="23">
        <v>0.45</v>
      </c>
      <c r="G684" s="14">
        <v>0</v>
      </c>
      <c r="H684" s="25" t="s">
        <v>1615</v>
      </c>
      <c r="I684" s="12"/>
    </row>
    <row r="685" spans="1:9" x14ac:dyDescent="0.3">
      <c r="A685" s="11"/>
      <c r="B685" s="12" t="s">
        <v>153</v>
      </c>
      <c r="C685" s="12" t="s">
        <v>1453</v>
      </c>
      <c r="D685" s="12" t="s">
        <v>1774</v>
      </c>
      <c r="E685" s="14">
        <v>250</v>
      </c>
      <c r="F685" s="23">
        <v>0.75</v>
      </c>
      <c r="G685" s="14">
        <v>0</v>
      </c>
      <c r="H685" s="25" t="s">
        <v>1615</v>
      </c>
      <c r="I685" s="12"/>
    </row>
    <row r="686" spans="1:9" x14ac:dyDescent="0.3">
      <c r="A686" s="11"/>
      <c r="B686" s="12" t="s">
        <v>153</v>
      </c>
      <c r="C686" s="12" t="s">
        <v>1454</v>
      </c>
      <c r="D686" s="12" t="s">
        <v>1847</v>
      </c>
      <c r="E686" s="14">
        <v>250</v>
      </c>
      <c r="F686" s="23">
        <v>0.72</v>
      </c>
      <c r="G686" s="14">
        <v>26</v>
      </c>
      <c r="H686" s="25" t="s">
        <v>1615</v>
      </c>
      <c r="I686" s="12"/>
    </row>
    <row r="687" spans="1:9" x14ac:dyDescent="0.3">
      <c r="A687" s="11"/>
      <c r="B687" s="12" t="s">
        <v>153</v>
      </c>
      <c r="C687" s="12" t="s">
        <v>1455</v>
      </c>
      <c r="D687" s="12" t="s">
        <v>1846</v>
      </c>
      <c r="E687" s="14">
        <v>150</v>
      </c>
      <c r="F687" s="23">
        <v>0.7</v>
      </c>
      <c r="G687" s="14">
        <v>0</v>
      </c>
      <c r="H687" s="25" t="s">
        <v>1615</v>
      </c>
      <c r="I687" s="12"/>
    </row>
    <row r="688" spans="1:9" x14ac:dyDescent="0.3">
      <c r="A688" s="11"/>
      <c r="B688" s="12" t="s">
        <v>153</v>
      </c>
      <c r="C688" s="12" t="s">
        <v>1456</v>
      </c>
      <c r="D688" s="12" t="s">
        <v>1846</v>
      </c>
      <c r="E688" s="14">
        <v>250</v>
      </c>
      <c r="F688" s="23">
        <v>0.47</v>
      </c>
      <c r="G688" s="14">
        <v>0</v>
      </c>
      <c r="H688" s="25" t="s">
        <v>1615</v>
      </c>
      <c r="I688" s="12"/>
    </row>
    <row r="689" spans="1:9" x14ac:dyDescent="0.3">
      <c r="A689" s="11"/>
      <c r="B689" s="12" t="s">
        <v>153</v>
      </c>
      <c r="C689" s="12" t="s">
        <v>1457</v>
      </c>
      <c r="D689" s="12" t="s">
        <v>1846</v>
      </c>
      <c r="E689" s="14">
        <v>75</v>
      </c>
      <c r="F689" s="23">
        <v>0.51</v>
      </c>
      <c r="G689" s="14">
        <v>0</v>
      </c>
      <c r="H689" s="25" t="s">
        <v>1615</v>
      </c>
      <c r="I689" s="12"/>
    </row>
    <row r="690" spans="1:9" x14ac:dyDescent="0.3">
      <c r="A690" s="11"/>
      <c r="B690" s="12" t="s">
        <v>153</v>
      </c>
      <c r="C690" s="12" t="s">
        <v>1458</v>
      </c>
      <c r="D690" s="12" t="s">
        <v>1846</v>
      </c>
      <c r="E690" s="14">
        <v>75</v>
      </c>
      <c r="F690" s="23">
        <v>0.5</v>
      </c>
      <c r="G690" s="14">
        <v>0</v>
      </c>
      <c r="H690" s="25" t="s">
        <v>1615</v>
      </c>
      <c r="I690" s="12"/>
    </row>
    <row r="691" spans="1:9" x14ac:dyDescent="0.3">
      <c r="A691" s="11"/>
      <c r="B691" s="12" t="s">
        <v>153</v>
      </c>
      <c r="C691" s="12" t="s">
        <v>1459</v>
      </c>
      <c r="D691" s="12" t="s">
        <v>1846</v>
      </c>
      <c r="E691" s="14">
        <v>250</v>
      </c>
      <c r="F691" s="23">
        <v>0.66</v>
      </c>
      <c r="G691" s="14">
        <v>3.15</v>
      </c>
      <c r="H691" s="25" t="s">
        <v>1615</v>
      </c>
      <c r="I691" s="12"/>
    </row>
    <row r="692" spans="1:9" x14ac:dyDescent="0.3">
      <c r="A692" s="11"/>
      <c r="B692" s="12" t="s">
        <v>153</v>
      </c>
      <c r="C692" s="12" t="s">
        <v>1460</v>
      </c>
      <c r="D692" s="12" t="s">
        <v>1846</v>
      </c>
      <c r="E692" s="14">
        <v>250</v>
      </c>
      <c r="F692" s="23">
        <v>0.46</v>
      </c>
      <c r="G692" s="14">
        <v>70.034999999999997</v>
      </c>
      <c r="H692" s="25" t="s">
        <v>1615</v>
      </c>
      <c r="I692" s="12"/>
    </row>
    <row r="693" spans="1:9" x14ac:dyDescent="0.3">
      <c r="A693" s="11"/>
      <c r="B693" s="12" t="s">
        <v>153</v>
      </c>
      <c r="C693" s="12" t="s">
        <v>1461</v>
      </c>
      <c r="D693" s="12" t="s">
        <v>1678</v>
      </c>
      <c r="E693" s="14">
        <v>400</v>
      </c>
      <c r="F693" s="23">
        <v>0.5</v>
      </c>
      <c r="G693" s="14">
        <v>10.56</v>
      </c>
      <c r="H693" s="25" t="s">
        <v>1615</v>
      </c>
      <c r="I693" s="12"/>
    </row>
    <row r="694" spans="1:9" x14ac:dyDescent="0.3">
      <c r="A694" s="11"/>
      <c r="B694" s="12" t="s">
        <v>153</v>
      </c>
      <c r="C694" s="12" t="s">
        <v>1462</v>
      </c>
      <c r="D694" s="12" t="s">
        <v>1678</v>
      </c>
      <c r="E694" s="14">
        <v>320</v>
      </c>
      <c r="F694" s="23">
        <v>0.75</v>
      </c>
      <c r="G694" s="14">
        <v>3.15</v>
      </c>
      <c r="H694" s="25" t="s">
        <v>1615</v>
      </c>
      <c r="I694" s="12"/>
    </row>
    <row r="695" spans="1:9" x14ac:dyDescent="0.3">
      <c r="A695" s="11"/>
      <c r="B695" s="12" t="s">
        <v>153</v>
      </c>
      <c r="C695" s="12" t="s">
        <v>1463</v>
      </c>
      <c r="D695" s="12" t="s">
        <v>1678</v>
      </c>
      <c r="E695" s="14">
        <v>150</v>
      </c>
      <c r="F695" s="23">
        <v>0.68</v>
      </c>
      <c r="G695" s="14">
        <v>42.72</v>
      </c>
      <c r="H695" s="25" t="s">
        <v>1615</v>
      </c>
      <c r="I695" s="12"/>
    </row>
    <row r="696" spans="1:9" x14ac:dyDescent="0.3">
      <c r="A696" s="11"/>
      <c r="B696" s="12" t="s">
        <v>153</v>
      </c>
      <c r="C696" s="12" t="s">
        <v>1464</v>
      </c>
      <c r="D696" s="12" t="s">
        <v>1678</v>
      </c>
      <c r="E696" s="14">
        <v>250</v>
      </c>
      <c r="F696" s="23">
        <v>0.66</v>
      </c>
      <c r="G696" s="14">
        <v>0</v>
      </c>
      <c r="H696" s="25" t="s">
        <v>1615</v>
      </c>
      <c r="I696" s="12"/>
    </row>
    <row r="697" spans="1:9" x14ac:dyDescent="0.3">
      <c r="A697" s="11"/>
      <c r="B697" s="12" t="s">
        <v>153</v>
      </c>
      <c r="C697" s="12" t="s">
        <v>1465</v>
      </c>
      <c r="D697" s="12" t="s">
        <v>1678</v>
      </c>
      <c r="E697" s="14">
        <v>250</v>
      </c>
      <c r="F697" s="23">
        <v>0.64</v>
      </c>
      <c r="G697" s="14">
        <v>9</v>
      </c>
      <c r="H697" s="25" t="s">
        <v>1615</v>
      </c>
      <c r="I697" s="12"/>
    </row>
    <row r="698" spans="1:9" x14ac:dyDescent="0.3">
      <c r="A698" s="11"/>
      <c r="B698" s="12" t="s">
        <v>153</v>
      </c>
      <c r="C698" s="12" t="s">
        <v>1466</v>
      </c>
      <c r="D698" s="12" t="s">
        <v>1678</v>
      </c>
      <c r="E698" s="14">
        <v>250</v>
      </c>
      <c r="F698" s="23">
        <v>0.53</v>
      </c>
      <c r="G698" s="14">
        <v>0</v>
      </c>
      <c r="H698" s="25" t="s">
        <v>1615</v>
      </c>
      <c r="I698" s="12"/>
    </row>
    <row r="699" spans="1:9" x14ac:dyDescent="0.3">
      <c r="A699" s="11"/>
      <c r="B699" s="12" t="s">
        <v>153</v>
      </c>
      <c r="C699" s="12" t="s">
        <v>1467</v>
      </c>
      <c r="D699" s="12" t="s">
        <v>1616</v>
      </c>
      <c r="E699" s="14">
        <v>150</v>
      </c>
      <c r="F699" s="23">
        <v>0.62</v>
      </c>
      <c r="G699" s="14">
        <v>0</v>
      </c>
      <c r="H699" s="25" t="s">
        <v>1615</v>
      </c>
      <c r="I699" s="12"/>
    </row>
    <row r="700" spans="1:9" x14ac:dyDescent="0.3">
      <c r="A700" s="11"/>
      <c r="B700" s="12" t="s">
        <v>153</v>
      </c>
      <c r="C700" s="12" t="s">
        <v>1468</v>
      </c>
      <c r="D700" s="12" t="s">
        <v>1616</v>
      </c>
      <c r="E700" s="14">
        <v>250</v>
      </c>
      <c r="F700" s="23">
        <v>0.5</v>
      </c>
      <c r="G700" s="14">
        <v>0</v>
      </c>
      <c r="H700" s="25" t="s">
        <v>1615</v>
      </c>
      <c r="I700" s="12"/>
    </row>
    <row r="701" spans="1:9" x14ac:dyDescent="0.3">
      <c r="A701" s="11"/>
      <c r="B701" s="12" t="s">
        <v>153</v>
      </c>
      <c r="C701" s="12" t="s">
        <v>1469</v>
      </c>
      <c r="D701" s="12" t="s">
        <v>1616</v>
      </c>
      <c r="E701" s="14">
        <v>37.5</v>
      </c>
      <c r="F701" s="23">
        <v>0.46</v>
      </c>
      <c r="G701" s="14">
        <v>0</v>
      </c>
      <c r="H701" s="25" t="s">
        <v>1615</v>
      </c>
      <c r="I701" s="12"/>
    </row>
    <row r="702" spans="1:9" x14ac:dyDescent="0.3">
      <c r="A702" s="11"/>
      <c r="B702" s="12" t="s">
        <v>153</v>
      </c>
      <c r="C702" s="12" t="s">
        <v>1470</v>
      </c>
      <c r="D702" s="12" t="s">
        <v>1616</v>
      </c>
      <c r="E702" s="14">
        <v>50</v>
      </c>
      <c r="F702" s="23">
        <v>0.7</v>
      </c>
      <c r="G702" s="14">
        <v>0</v>
      </c>
      <c r="H702" s="25" t="s">
        <v>1615</v>
      </c>
      <c r="I702" s="12"/>
    </row>
    <row r="703" spans="1:9" x14ac:dyDescent="0.3">
      <c r="A703" s="11"/>
      <c r="B703" s="12" t="s">
        <v>153</v>
      </c>
      <c r="C703" s="12" t="s">
        <v>1471</v>
      </c>
      <c r="D703" s="12" t="s">
        <v>1730</v>
      </c>
      <c r="E703" s="14">
        <v>75</v>
      </c>
      <c r="F703" s="23">
        <v>0.65</v>
      </c>
      <c r="G703" s="14">
        <v>0</v>
      </c>
      <c r="H703" s="25" t="s">
        <v>1615</v>
      </c>
      <c r="I703" s="12"/>
    </row>
    <row r="704" spans="1:9" x14ac:dyDescent="0.3">
      <c r="A704" s="11"/>
      <c r="B704" s="12" t="s">
        <v>153</v>
      </c>
      <c r="C704" s="12" t="s">
        <v>1472</v>
      </c>
      <c r="D704" s="12" t="s">
        <v>1730</v>
      </c>
      <c r="E704" s="14">
        <v>75</v>
      </c>
      <c r="F704" s="23">
        <v>0.74</v>
      </c>
      <c r="G704" s="14">
        <v>0</v>
      </c>
      <c r="H704" s="25" t="s">
        <v>1615</v>
      </c>
      <c r="I704" s="12"/>
    </row>
    <row r="705" spans="1:9" x14ac:dyDescent="0.3">
      <c r="A705" s="11"/>
      <c r="B705" s="12" t="s">
        <v>153</v>
      </c>
      <c r="C705" s="12" t="s">
        <v>1473</v>
      </c>
      <c r="D705" s="12" t="s">
        <v>1730</v>
      </c>
      <c r="E705" s="14">
        <v>75</v>
      </c>
      <c r="F705" s="23">
        <v>0.61</v>
      </c>
      <c r="G705" s="14">
        <v>0</v>
      </c>
      <c r="H705" s="25" t="s">
        <v>1615</v>
      </c>
      <c r="I705" s="12"/>
    </row>
    <row r="706" spans="1:9" x14ac:dyDescent="0.3">
      <c r="A706" s="11"/>
      <c r="B706" s="12" t="s">
        <v>153</v>
      </c>
      <c r="C706" s="12" t="s">
        <v>1474</v>
      </c>
      <c r="D706" s="12" t="s">
        <v>1777</v>
      </c>
      <c r="E706" s="14">
        <v>250</v>
      </c>
      <c r="F706" s="23">
        <v>0.73</v>
      </c>
      <c r="G706" s="14">
        <v>0</v>
      </c>
      <c r="H706" s="25" t="s">
        <v>1615</v>
      </c>
      <c r="I706" s="12"/>
    </row>
    <row r="707" spans="1:9" x14ac:dyDescent="0.3">
      <c r="A707" s="11"/>
      <c r="B707" s="12" t="s">
        <v>153</v>
      </c>
      <c r="C707" s="12" t="s">
        <v>1475</v>
      </c>
      <c r="D707" s="12" t="s">
        <v>1674</v>
      </c>
      <c r="E707" s="14">
        <v>75</v>
      </c>
      <c r="F707" s="23">
        <v>0.72</v>
      </c>
      <c r="G707" s="14">
        <v>0</v>
      </c>
      <c r="H707" s="25" t="s">
        <v>1615</v>
      </c>
      <c r="I707" s="12"/>
    </row>
    <row r="708" spans="1:9" x14ac:dyDescent="0.3">
      <c r="A708" s="11"/>
      <c r="B708" s="12" t="s">
        <v>153</v>
      </c>
      <c r="C708" s="12" t="s">
        <v>1476</v>
      </c>
      <c r="D708" s="12" t="s">
        <v>1775</v>
      </c>
      <c r="E708" s="14">
        <v>225</v>
      </c>
      <c r="F708" s="23">
        <v>0.61</v>
      </c>
      <c r="G708" s="14">
        <v>0</v>
      </c>
      <c r="H708" s="25" t="s">
        <v>1615</v>
      </c>
      <c r="I708" s="12"/>
    </row>
    <row r="709" spans="1:9" x14ac:dyDescent="0.3">
      <c r="A709" s="11"/>
      <c r="B709" s="12" t="s">
        <v>153</v>
      </c>
      <c r="C709" s="12" t="s">
        <v>1477</v>
      </c>
      <c r="D709" s="12" t="s">
        <v>1848</v>
      </c>
      <c r="E709" s="14">
        <v>225</v>
      </c>
      <c r="F709" s="23">
        <v>0.73</v>
      </c>
      <c r="G709" s="14">
        <v>0</v>
      </c>
      <c r="H709" s="25" t="s">
        <v>1615</v>
      </c>
      <c r="I709" s="12"/>
    </row>
    <row r="710" spans="1:9" x14ac:dyDescent="0.3">
      <c r="A710" s="11"/>
      <c r="B710" s="12" t="s">
        <v>153</v>
      </c>
      <c r="C710" s="12" t="s">
        <v>1478</v>
      </c>
      <c r="D710" s="12" t="s">
        <v>1775</v>
      </c>
      <c r="E710" s="14">
        <v>100</v>
      </c>
      <c r="F710" s="23">
        <v>0.6</v>
      </c>
      <c r="G710" s="14">
        <v>0</v>
      </c>
      <c r="H710" s="25" t="s">
        <v>1615</v>
      </c>
      <c r="I710" s="12"/>
    </row>
    <row r="711" spans="1:9" x14ac:dyDescent="0.3">
      <c r="A711" s="11"/>
      <c r="B711" s="12" t="s">
        <v>153</v>
      </c>
      <c r="C711" s="12" t="s">
        <v>1479</v>
      </c>
      <c r="D711" s="12" t="s">
        <v>1775</v>
      </c>
      <c r="E711" s="14">
        <v>100</v>
      </c>
      <c r="F711" s="23">
        <v>0.6</v>
      </c>
      <c r="G711" s="14">
        <v>19.2</v>
      </c>
      <c r="H711" s="25" t="s">
        <v>1615</v>
      </c>
      <c r="I711" s="12"/>
    </row>
    <row r="712" spans="1:9" x14ac:dyDescent="0.3">
      <c r="A712" s="11"/>
      <c r="B712" s="12" t="s">
        <v>153</v>
      </c>
      <c r="C712" s="12" t="s">
        <v>1480</v>
      </c>
      <c r="D712" s="12" t="s">
        <v>1674</v>
      </c>
      <c r="E712" s="14">
        <v>100</v>
      </c>
      <c r="F712" s="23">
        <v>0.74</v>
      </c>
      <c r="G712" s="14">
        <v>0</v>
      </c>
      <c r="H712" s="25" t="s">
        <v>1615</v>
      </c>
      <c r="I712" s="12"/>
    </row>
    <row r="713" spans="1:9" x14ac:dyDescent="0.3">
      <c r="A713" s="11"/>
      <c r="B713" s="12" t="s">
        <v>153</v>
      </c>
      <c r="C713" s="12" t="s">
        <v>1481</v>
      </c>
      <c r="D713" s="12" t="s">
        <v>1674</v>
      </c>
      <c r="E713" s="14">
        <v>100</v>
      </c>
      <c r="F713" s="23">
        <v>0.47</v>
      </c>
      <c r="G713" s="14">
        <v>0</v>
      </c>
      <c r="H713" s="25" t="s">
        <v>1615</v>
      </c>
      <c r="I713" s="12"/>
    </row>
    <row r="714" spans="1:9" x14ac:dyDescent="0.3">
      <c r="A714" s="11"/>
      <c r="B714" s="12" t="s">
        <v>153</v>
      </c>
      <c r="C714" s="12" t="s">
        <v>1482</v>
      </c>
      <c r="D714" s="12" t="s">
        <v>1674</v>
      </c>
      <c r="E714" s="14">
        <v>200</v>
      </c>
      <c r="F714" s="23">
        <v>0.71</v>
      </c>
      <c r="G714" s="14">
        <v>0</v>
      </c>
      <c r="H714" s="25" t="s">
        <v>1615</v>
      </c>
      <c r="I714" s="12"/>
    </row>
    <row r="715" spans="1:9" x14ac:dyDescent="0.3">
      <c r="A715" s="11"/>
      <c r="B715" s="12" t="s">
        <v>153</v>
      </c>
      <c r="C715" s="12" t="s">
        <v>1483</v>
      </c>
      <c r="D715" s="12" t="s">
        <v>1674</v>
      </c>
      <c r="E715" s="14">
        <v>100</v>
      </c>
      <c r="F715" s="23">
        <v>0.71</v>
      </c>
      <c r="G715" s="14">
        <v>0</v>
      </c>
      <c r="H715" s="25" t="s">
        <v>1615</v>
      </c>
      <c r="I715" s="12"/>
    </row>
    <row r="716" spans="1:9" x14ac:dyDescent="0.3">
      <c r="A716" s="11"/>
      <c r="B716" s="12" t="s">
        <v>153</v>
      </c>
      <c r="C716" s="12" t="s">
        <v>1484</v>
      </c>
      <c r="D716" s="12" t="s">
        <v>1674</v>
      </c>
      <c r="E716" s="14">
        <v>75</v>
      </c>
      <c r="F716" s="23">
        <v>0.57999999999999996</v>
      </c>
      <c r="G716" s="14">
        <v>0</v>
      </c>
      <c r="H716" s="25" t="s">
        <v>1615</v>
      </c>
      <c r="I716" s="12"/>
    </row>
    <row r="717" spans="1:9" x14ac:dyDescent="0.3">
      <c r="A717" s="11"/>
      <c r="B717" s="12" t="s">
        <v>153</v>
      </c>
      <c r="C717" s="12" t="s">
        <v>1485</v>
      </c>
      <c r="D717" s="12" t="s">
        <v>1674</v>
      </c>
      <c r="E717" s="14">
        <v>100</v>
      </c>
      <c r="F717" s="23">
        <v>0.55000000000000004</v>
      </c>
      <c r="G717" s="14">
        <v>0</v>
      </c>
      <c r="H717" s="25" t="s">
        <v>1615</v>
      </c>
      <c r="I717" s="12"/>
    </row>
    <row r="718" spans="1:9" x14ac:dyDescent="0.3">
      <c r="A718" s="11"/>
      <c r="B718" s="12" t="s">
        <v>153</v>
      </c>
      <c r="C718" s="12" t="s">
        <v>1486</v>
      </c>
      <c r="D718" s="12" t="s">
        <v>1849</v>
      </c>
      <c r="E718" s="14">
        <v>160</v>
      </c>
      <c r="F718" s="23">
        <v>0.63</v>
      </c>
      <c r="G718" s="14">
        <v>0</v>
      </c>
      <c r="H718" s="25" t="s">
        <v>1615</v>
      </c>
      <c r="I718" s="12"/>
    </row>
    <row r="719" spans="1:9" x14ac:dyDescent="0.3">
      <c r="A719" s="11"/>
      <c r="B719" s="12" t="s">
        <v>153</v>
      </c>
      <c r="C719" s="12" t="s">
        <v>1487</v>
      </c>
      <c r="D719" s="12" t="s">
        <v>1850</v>
      </c>
      <c r="E719" s="14">
        <v>75</v>
      </c>
      <c r="F719" s="23">
        <v>0.49</v>
      </c>
      <c r="G719" s="14">
        <v>0</v>
      </c>
      <c r="H719" s="25" t="s">
        <v>1615</v>
      </c>
      <c r="I719" s="12"/>
    </row>
    <row r="720" spans="1:9" x14ac:dyDescent="0.3">
      <c r="A720" s="11"/>
      <c r="B720" s="12" t="s">
        <v>153</v>
      </c>
      <c r="C720" s="12" t="s">
        <v>1488</v>
      </c>
      <c r="D720" s="12" t="s">
        <v>1777</v>
      </c>
      <c r="E720" s="14">
        <v>250</v>
      </c>
      <c r="F720" s="23">
        <v>0.56000000000000005</v>
      </c>
      <c r="G720" s="14">
        <v>0</v>
      </c>
      <c r="H720" s="25" t="s">
        <v>1615</v>
      </c>
      <c r="I720" s="12"/>
    </row>
    <row r="721" spans="1:9" x14ac:dyDescent="0.3">
      <c r="A721" s="11"/>
      <c r="B721" s="12" t="s">
        <v>153</v>
      </c>
      <c r="C721" s="12" t="s">
        <v>1489</v>
      </c>
      <c r="D721" s="12" t="s">
        <v>1679</v>
      </c>
      <c r="E721" s="14">
        <v>400</v>
      </c>
      <c r="F721" s="23">
        <v>0.64</v>
      </c>
      <c r="G721" s="14">
        <v>0</v>
      </c>
      <c r="H721" s="25" t="s">
        <v>1615</v>
      </c>
      <c r="I721" s="12"/>
    </row>
    <row r="722" spans="1:9" x14ac:dyDescent="0.3">
      <c r="A722" s="11"/>
      <c r="B722" s="12" t="s">
        <v>153</v>
      </c>
      <c r="C722" s="12" t="s">
        <v>1490</v>
      </c>
      <c r="D722" s="12" t="s">
        <v>1679</v>
      </c>
      <c r="E722" s="14">
        <v>250</v>
      </c>
      <c r="F722" s="23">
        <v>0.59</v>
      </c>
      <c r="G722" s="14">
        <v>0</v>
      </c>
      <c r="H722" s="25" t="s">
        <v>1615</v>
      </c>
      <c r="I722" s="12"/>
    </row>
    <row r="723" spans="1:9" x14ac:dyDescent="0.3">
      <c r="A723" s="11"/>
      <c r="B723" s="12" t="s">
        <v>153</v>
      </c>
      <c r="C723" s="12" t="s">
        <v>1491</v>
      </c>
      <c r="D723" s="12" t="s">
        <v>1679</v>
      </c>
      <c r="E723" s="14">
        <v>150</v>
      </c>
      <c r="F723" s="23">
        <v>0.53</v>
      </c>
      <c r="G723" s="14">
        <v>0</v>
      </c>
      <c r="H723" s="25" t="s">
        <v>1615</v>
      </c>
      <c r="I723" s="12"/>
    </row>
    <row r="724" spans="1:9" x14ac:dyDescent="0.3">
      <c r="A724" s="11"/>
      <c r="B724" s="12" t="s">
        <v>153</v>
      </c>
      <c r="C724" s="12" t="s">
        <v>1492</v>
      </c>
      <c r="D724" s="12" t="s">
        <v>1679</v>
      </c>
      <c r="E724" s="14">
        <v>250</v>
      </c>
      <c r="F724" s="23">
        <v>0.62</v>
      </c>
      <c r="G724" s="14">
        <v>0</v>
      </c>
      <c r="H724" s="25" t="s">
        <v>1615</v>
      </c>
      <c r="I724" s="12"/>
    </row>
    <row r="725" spans="1:9" x14ac:dyDescent="0.3">
      <c r="A725" s="11"/>
      <c r="B725" s="12" t="s">
        <v>153</v>
      </c>
      <c r="C725" s="12" t="s">
        <v>1493</v>
      </c>
      <c r="D725" s="12" t="s">
        <v>1777</v>
      </c>
      <c r="E725" s="14">
        <v>250</v>
      </c>
      <c r="F725" s="23">
        <v>0.68</v>
      </c>
      <c r="G725" s="14">
        <v>0</v>
      </c>
      <c r="H725" s="25" t="s">
        <v>1615</v>
      </c>
      <c r="I725" s="12"/>
    </row>
    <row r="726" spans="1:9" x14ac:dyDescent="0.3">
      <c r="A726" s="11"/>
      <c r="B726" s="12" t="s">
        <v>153</v>
      </c>
      <c r="C726" s="12" t="s">
        <v>1494</v>
      </c>
      <c r="D726" s="12" t="s">
        <v>1851</v>
      </c>
      <c r="E726" s="14">
        <v>320</v>
      </c>
      <c r="F726" s="23">
        <v>0.52</v>
      </c>
      <c r="G726" s="14">
        <v>0</v>
      </c>
      <c r="H726" s="25" t="s">
        <v>1615</v>
      </c>
      <c r="I726" s="12"/>
    </row>
    <row r="727" spans="1:9" x14ac:dyDescent="0.3">
      <c r="A727" s="11"/>
      <c r="B727" s="12" t="s">
        <v>153</v>
      </c>
      <c r="C727" s="12" t="s">
        <v>1495</v>
      </c>
      <c r="D727" s="12" t="s">
        <v>1674</v>
      </c>
      <c r="E727" s="14">
        <v>400</v>
      </c>
      <c r="F727" s="23">
        <v>0.48</v>
      </c>
      <c r="G727" s="14">
        <v>12.15</v>
      </c>
      <c r="H727" s="25" t="s">
        <v>1615</v>
      </c>
      <c r="I727" s="12"/>
    </row>
    <row r="728" spans="1:9" x14ac:dyDescent="0.3">
      <c r="A728" s="11"/>
      <c r="B728" s="12" t="s">
        <v>153</v>
      </c>
      <c r="C728" s="12" t="s">
        <v>1496</v>
      </c>
      <c r="D728" s="12" t="s">
        <v>1674</v>
      </c>
      <c r="E728" s="14">
        <v>225</v>
      </c>
      <c r="F728" s="23">
        <v>0.53</v>
      </c>
      <c r="G728" s="14">
        <v>0</v>
      </c>
      <c r="H728" s="25" t="s">
        <v>1615</v>
      </c>
      <c r="I728" s="12"/>
    </row>
    <row r="729" spans="1:9" x14ac:dyDescent="0.3">
      <c r="A729" s="11"/>
      <c r="B729" s="12" t="s">
        <v>153</v>
      </c>
      <c r="C729" s="12" t="s">
        <v>1497</v>
      </c>
      <c r="D729" s="12" t="s">
        <v>1674</v>
      </c>
      <c r="E729" s="14">
        <v>300</v>
      </c>
      <c r="F729" s="23">
        <v>0.65</v>
      </c>
      <c r="G729" s="14">
        <v>0</v>
      </c>
      <c r="H729" s="25" t="s">
        <v>1615</v>
      </c>
      <c r="I729" s="12"/>
    </row>
    <row r="730" spans="1:9" x14ac:dyDescent="0.3">
      <c r="A730" s="11"/>
      <c r="B730" s="12" t="s">
        <v>153</v>
      </c>
      <c r="C730" s="12" t="s">
        <v>1498</v>
      </c>
      <c r="D730" s="12" t="s">
        <v>1674</v>
      </c>
      <c r="E730" s="14">
        <v>160</v>
      </c>
      <c r="F730" s="23">
        <v>0.6</v>
      </c>
      <c r="G730" s="14">
        <v>0</v>
      </c>
      <c r="H730" s="25" t="s">
        <v>1615</v>
      </c>
      <c r="I730" s="12"/>
    </row>
    <row r="731" spans="1:9" x14ac:dyDescent="0.3">
      <c r="A731" s="11"/>
      <c r="B731" s="12" t="s">
        <v>153</v>
      </c>
      <c r="C731" s="12" t="s">
        <v>1499</v>
      </c>
      <c r="D731" s="12" t="s">
        <v>1775</v>
      </c>
      <c r="E731" s="14">
        <v>250</v>
      </c>
      <c r="F731" s="23">
        <v>0.56000000000000005</v>
      </c>
      <c r="G731" s="14">
        <v>0</v>
      </c>
      <c r="H731" s="25" t="s">
        <v>1615</v>
      </c>
      <c r="I731" s="12"/>
    </row>
    <row r="732" spans="1:9" x14ac:dyDescent="0.3">
      <c r="A732" s="11"/>
      <c r="B732" s="12" t="s">
        <v>153</v>
      </c>
      <c r="C732" s="12" t="s">
        <v>1500</v>
      </c>
      <c r="D732" s="12" t="s">
        <v>1674</v>
      </c>
      <c r="E732" s="14">
        <v>300</v>
      </c>
      <c r="F732" s="23">
        <v>0.52</v>
      </c>
      <c r="G732" s="14">
        <v>0</v>
      </c>
      <c r="H732" s="25" t="s">
        <v>1615</v>
      </c>
      <c r="I732" s="12"/>
    </row>
    <row r="733" spans="1:9" x14ac:dyDescent="0.3">
      <c r="A733" s="11"/>
      <c r="B733" s="12" t="s">
        <v>153</v>
      </c>
      <c r="C733" s="12" t="s">
        <v>1501</v>
      </c>
      <c r="D733" s="12" t="s">
        <v>1674</v>
      </c>
      <c r="E733" s="14">
        <v>160</v>
      </c>
      <c r="F733" s="23">
        <v>0.59</v>
      </c>
      <c r="G733" s="14">
        <v>0</v>
      </c>
      <c r="H733" s="25" t="s">
        <v>1615</v>
      </c>
      <c r="I733" s="12"/>
    </row>
    <row r="734" spans="1:9" x14ac:dyDescent="0.3">
      <c r="A734" s="11"/>
      <c r="B734" s="12" t="s">
        <v>153</v>
      </c>
      <c r="C734" s="12" t="s">
        <v>1502</v>
      </c>
      <c r="D734" s="12" t="s">
        <v>1775</v>
      </c>
      <c r="E734" s="14">
        <v>320</v>
      </c>
      <c r="F734" s="23">
        <v>0.61</v>
      </c>
      <c r="G734" s="14">
        <v>0</v>
      </c>
      <c r="H734" s="25" t="s">
        <v>1615</v>
      </c>
      <c r="I734" s="12"/>
    </row>
    <row r="735" spans="1:9" x14ac:dyDescent="0.3">
      <c r="A735" s="11"/>
      <c r="B735" s="12" t="s">
        <v>153</v>
      </c>
      <c r="C735" s="12" t="s">
        <v>1503</v>
      </c>
      <c r="D735" s="12" t="s">
        <v>1674</v>
      </c>
      <c r="E735" s="14">
        <v>100</v>
      </c>
      <c r="F735" s="23">
        <v>0.67</v>
      </c>
      <c r="G735" s="14">
        <v>0</v>
      </c>
      <c r="H735" s="25" t="s">
        <v>1615</v>
      </c>
      <c r="I735" s="12"/>
    </row>
    <row r="736" spans="1:9" x14ac:dyDescent="0.3">
      <c r="A736" s="11"/>
      <c r="B736" s="12" t="s">
        <v>153</v>
      </c>
      <c r="C736" s="12" t="s">
        <v>1504</v>
      </c>
      <c r="D736" s="12" t="s">
        <v>1674</v>
      </c>
      <c r="E736" s="14">
        <v>50</v>
      </c>
      <c r="F736" s="23">
        <v>0.54</v>
      </c>
      <c r="G736" s="14">
        <v>0</v>
      </c>
      <c r="H736" s="25" t="s">
        <v>1615</v>
      </c>
      <c r="I736" s="12"/>
    </row>
    <row r="737" spans="1:9" x14ac:dyDescent="0.3">
      <c r="A737" s="11"/>
      <c r="B737" s="12" t="s">
        <v>153</v>
      </c>
      <c r="C737" s="12" t="s">
        <v>1505</v>
      </c>
      <c r="D737" s="12" t="s">
        <v>1674</v>
      </c>
      <c r="E737" s="14">
        <v>150</v>
      </c>
      <c r="F737" s="23">
        <v>0.47</v>
      </c>
      <c r="G737" s="14">
        <v>0</v>
      </c>
      <c r="H737" s="25" t="s">
        <v>1615</v>
      </c>
      <c r="I737" s="12"/>
    </row>
    <row r="738" spans="1:9" x14ac:dyDescent="0.3">
      <c r="A738" s="11"/>
      <c r="B738" s="12" t="s">
        <v>153</v>
      </c>
      <c r="C738" s="12" t="s">
        <v>1506</v>
      </c>
      <c r="D738" s="12" t="s">
        <v>1674</v>
      </c>
      <c r="E738" s="14">
        <v>150</v>
      </c>
      <c r="F738" s="23">
        <v>0.48</v>
      </c>
      <c r="G738" s="14">
        <v>0</v>
      </c>
      <c r="H738" s="25" t="s">
        <v>1615</v>
      </c>
      <c r="I738" s="12"/>
    </row>
    <row r="739" spans="1:9" x14ac:dyDescent="0.3">
      <c r="A739" s="11"/>
      <c r="B739" s="12" t="s">
        <v>153</v>
      </c>
      <c r="C739" s="12" t="s">
        <v>1507</v>
      </c>
      <c r="D739" s="12" t="s">
        <v>1674</v>
      </c>
      <c r="E739" s="14">
        <v>75</v>
      </c>
      <c r="F739" s="23">
        <v>0.64</v>
      </c>
      <c r="G739" s="14">
        <v>0</v>
      </c>
      <c r="H739" s="25" t="s">
        <v>1615</v>
      </c>
      <c r="I739" s="12"/>
    </row>
    <row r="740" spans="1:9" x14ac:dyDescent="0.3">
      <c r="A740" s="11"/>
      <c r="B740" s="12" t="s">
        <v>156</v>
      </c>
      <c r="C740" s="12" t="s">
        <v>1508</v>
      </c>
      <c r="D740" s="12" t="s">
        <v>1696</v>
      </c>
      <c r="E740" s="14">
        <v>250</v>
      </c>
      <c r="F740" s="23">
        <v>0.47</v>
      </c>
      <c r="G740" s="14">
        <v>13.2</v>
      </c>
      <c r="H740" s="25" t="s">
        <v>1615</v>
      </c>
      <c r="I740" s="12"/>
    </row>
    <row r="741" spans="1:9" x14ac:dyDescent="0.3">
      <c r="A741" s="11"/>
      <c r="B741" s="12" t="s">
        <v>152</v>
      </c>
      <c r="C741" s="12" t="s">
        <v>1509</v>
      </c>
      <c r="D741" s="12" t="s">
        <v>1657</v>
      </c>
      <c r="E741" s="14">
        <v>150</v>
      </c>
      <c r="F741" s="23">
        <v>0.53</v>
      </c>
      <c r="G741" s="14">
        <v>0</v>
      </c>
      <c r="H741" s="25" t="s">
        <v>1615</v>
      </c>
      <c r="I741" s="12"/>
    </row>
    <row r="742" spans="1:9" x14ac:dyDescent="0.3">
      <c r="A742" s="11"/>
      <c r="B742" s="12" t="s">
        <v>152</v>
      </c>
      <c r="C742" s="12" t="s">
        <v>1510</v>
      </c>
      <c r="D742" s="12" t="s">
        <v>1652</v>
      </c>
      <c r="E742" s="14">
        <v>100</v>
      </c>
      <c r="F742" s="23">
        <v>0.72</v>
      </c>
      <c r="G742" s="14">
        <v>0</v>
      </c>
      <c r="H742" s="25" t="s">
        <v>1615</v>
      </c>
      <c r="I742" s="12"/>
    </row>
    <row r="743" spans="1:9" x14ac:dyDescent="0.3">
      <c r="A743" s="11"/>
      <c r="B743" s="12" t="s">
        <v>152</v>
      </c>
      <c r="C743" s="12" t="s">
        <v>1511</v>
      </c>
      <c r="D743" s="12" t="s">
        <v>1657</v>
      </c>
      <c r="E743" s="14">
        <v>75</v>
      </c>
      <c r="F743" s="23">
        <v>0.67</v>
      </c>
      <c r="G743" s="14">
        <v>0</v>
      </c>
      <c r="H743" s="25" t="s">
        <v>1615</v>
      </c>
      <c r="I743" s="12"/>
    </row>
    <row r="744" spans="1:9" x14ac:dyDescent="0.3">
      <c r="A744" s="11"/>
      <c r="B744" s="12" t="s">
        <v>156</v>
      </c>
      <c r="C744" s="12" t="s">
        <v>1512</v>
      </c>
      <c r="D744" s="12" t="s">
        <v>1617</v>
      </c>
      <c r="E744" s="14">
        <v>320</v>
      </c>
      <c r="F744" s="23">
        <v>0.54</v>
      </c>
      <c r="G744" s="14">
        <v>5</v>
      </c>
      <c r="H744" s="25" t="s">
        <v>1615</v>
      </c>
      <c r="I744" s="12"/>
    </row>
    <row r="745" spans="1:9" x14ac:dyDescent="0.3">
      <c r="A745" s="11"/>
      <c r="B745" s="12" t="s">
        <v>156</v>
      </c>
      <c r="C745" s="12" t="s">
        <v>1513</v>
      </c>
      <c r="D745" s="12" t="s">
        <v>1617</v>
      </c>
      <c r="E745" s="14">
        <v>250</v>
      </c>
      <c r="F745" s="23">
        <v>0.71</v>
      </c>
      <c r="G745" s="14">
        <v>21.36</v>
      </c>
      <c r="H745" s="25" t="s">
        <v>1615</v>
      </c>
      <c r="I745" s="12"/>
    </row>
    <row r="746" spans="1:9" x14ac:dyDescent="0.3">
      <c r="A746" s="11"/>
      <c r="B746" s="12" t="s">
        <v>152</v>
      </c>
      <c r="C746" s="12" t="s">
        <v>1514</v>
      </c>
      <c r="D746" s="12" t="s">
        <v>1664</v>
      </c>
      <c r="E746" s="14">
        <v>250</v>
      </c>
      <c r="F746" s="23">
        <v>0.59</v>
      </c>
      <c r="G746" s="14">
        <v>0</v>
      </c>
      <c r="H746" s="25" t="s">
        <v>1615</v>
      </c>
      <c r="I746" s="12"/>
    </row>
    <row r="747" spans="1:9" x14ac:dyDescent="0.3">
      <c r="A747" s="11"/>
      <c r="B747" s="12" t="s">
        <v>152</v>
      </c>
      <c r="C747" s="12" t="s">
        <v>1515</v>
      </c>
      <c r="D747" s="12" t="s">
        <v>1664</v>
      </c>
      <c r="E747" s="14">
        <v>250</v>
      </c>
      <c r="F747" s="23">
        <v>0.55000000000000004</v>
      </c>
      <c r="G747" s="14">
        <v>0</v>
      </c>
      <c r="H747" s="25" t="s">
        <v>1615</v>
      </c>
      <c r="I747" s="12"/>
    </row>
    <row r="748" spans="1:9" x14ac:dyDescent="0.3">
      <c r="A748" s="11"/>
      <c r="B748" s="12" t="s">
        <v>152</v>
      </c>
      <c r="C748" s="12" t="s">
        <v>1516</v>
      </c>
      <c r="D748" s="12" t="s">
        <v>1852</v>
      </c>
      <c r="E748" s="14">
        <v>250</v>
      </c>
      <c r="F748" s="23">
        <v>0.46</v>
      </c>
      <c r="G748" s="14">
        <v>6.9</v>
      </c>
      <c r="H748" s="25" t="s">
        <v>1615</v>
      </c>
      <c r="I748" s="12"/>
    </row>
    <row r="749" spans="1:9" x14ac:dyDescent="0.3">
      <c r="A749" s="11"/>
      <c r="B749" s="12" t="s">
        <v>152</v>
      </c>
      <c r="C749" s="12" t="s">
        <v>1517</v>
      </c>
      <c r="D749" s="12" t="s">
        <v>1853</v>
      </c>
      <c r="E749" s="14">
        <v>160</v>
      </c>
      <c r="F749" s="23">
        <v>0.53</v>
      </c>
      <c r="G749" s="14">
        <v>0</v>
      </c>
      <c r="H749" s="25" t="s">
        <v>1615</v>
      </c>
      <c r="I749" s="12"/>
    </row>
    <row r="750" spans="1:9" x14ac:dyDescent="0.3">
      <c r="A750" s="11"/>
      <c r="B750" s="12" t="s">
        <v>152</v>
      </c>
      <c r="C750" s="12" t="s">
        <v>1518</v>
      </c>
      <c r="D750" s="12" t="s">
        <v>1664</v>
      </c>
      <c r="E750" s="14">
        <v>250</v>
      </c>
      <c r="F750" s="23">
        <v>0.69</v>
      </c>
      <c r="G750" s="14">
        <v>0</v>
      </c>
      <c r="H750" s="25" t="s">
        <v>1615</v>
      </c>
      <c r="I750" s="12"/>
    </row>
    <row r="751" spans="1:9" x14ac:dyDescent="0.3">
      <c r="A751" s="11"/>
      <c r="B751" s="12" t="s">
        <v>152</v>
      </c>
      <c r="C751" s="12" t="s">
        <v>1519</v>
      </c>
      <c r="D751" s="12" t="s">
        <v>1854</v>
      </c>
      <c r="E751" s="14">
        <v>225</v>
      </c>
      <c r="F751" s="23">
        <v>0.73</v>
      </c>
      <c r="G751" s="14">
        <v>0</v>
      </c>
      <c r="H751" s="25" t="s">
        <v>1615</v>
      </c>
      <c r="I751" s="12"/>
    </row>
    <row r="752" spans="1:9" x14ac:dyDescent="0.3">
      <c r="A752" s="11"/>
      <c r="B752" s="12" t="s">
        <v>152</v>
      </c>
      <c r="C752" s="12" t="s">
        <v>1520</v>
      </c>
      <c r="D752" s="12" t="s">
        <v>1855</v>
      </c>
      <c r="E752" s="14">
        <v>300</v>
      </c>
      <c r="F752" s="23">
        <v>0.67</v>
      </c>
      <c r="G752" s="14">
        <v>0</v>
      </c>
      <c r="H752" s="25" t="s">
        <v>1615</v>
      </c>
      <c r="I752" s="12"/>
    </row>
    <row r="753" spans="1:9" x14ac:dyDescent="0.3">
      <c r="A753" s="11"/>
      <c r="B753" s="12" t="s">
        <v>152</v>
      </c>
      <c r="C753" s="12" t="s">
        <v>1521</v>
      </c>
      <c r="D753" s="12" t="s">
        <v>1856</v>
      </c>
      <c r="E753" s="14">
        <v>320</v>
      </c>
      <c r="F753" s="23">
        <v>0.51</v>
      </c>
      <c r="G753" s="14">
        <v>0</v>
      </c>
      <c r="H753" s="25" t="s">
        <v>1615</v>
      </c>
      <c r="I753" s="12"/>
    </row>
    <row r="754" spans="1:9" x14ac:dyDescent="0.3">
      <c r="A754" s="11"/>
      <c r="B754" s="12" t="s">
        <v>152</v>
      </c>
      <c r="C754" s="12" t="s">
        <v>1522</v>
      </c>
      <c r="D754" s="12" t="s">
        <v>1659</v>
      </c>
      <c r="E754" s="14">
        <v>250</v>
      </c>
      <c r="F754" s="23">
        <v>0.61</v>
      </c>
      <c r="G754" s="14">
        <v>0</v>
      </c>
      <c r="H754" s="25" t="s">
        <v>1615</v>
      </c>
      <c r="I754" s="12"/>
    </row>
    <row r="755" spans="1:9" x14ac:dyDescent="0.3">
      <c r="A755" s="11"/>
      <c r="B755" s="12" t="s">
        <v>152</v>
      </c>
      <c r="C755" s="12" t="s">
        <v>1523</v>
      </c>
      <c r="D755" s="12" t="s">
        <v>1857</v>
      </c>
      <c r="E755" s="14">
        <v>250</v>
      </c>
      <c r="F755" s="23">
        <v>0.67</v>
      </c>
      <c r="G755" s="14">
        <v>0</v>
      </c>
      <c r="H755" s="25" t="s">
        <v>1615</v>
      </c>
      <c r="I755" s="12"/>
    </row>
    <row r="756" spans="1:9" x14ac:dyDescent="0.3">
      <c r="A756" s="11"/>
      <c r="B756" s="12" t="s">
        <v>152</v>
      </c>
      <c r="C756" s="12" t="s">
        <v>1524</v>
      </c>
      <c r="D756" s="12" t="s">
        <v>1858</v>
      </c>
      <c r="E756" s="14">
        <v>250</v>
      </c>
      <c r="F756" s="23">
        <v>0.46</v>
      </c>
      <c r="G756" s="14">
        <v>0</v>
      </c>
      <c r="H756" s="25" t="s">
        <v>1615</v>
      </c>
      <c r="I756" s="12"/>
    </row>
    <row r="757" spans="1:9" x14ac:dyDescent="0.3">
      <c r="A757" s="11"/>
      <c r="B757" s="12" t="s">
        <v>152</v>
      </c>
      <c r="C757" s="12" t="s">
        <v>1525</v>
      </c>
      <c r="D757" s="12" t="s">
        <v>1659</v>
      </c>
      <c r="E757" s="14">
        <v>112.5</v>
      </c>
      <c r="F757" s="23">
        <v>0.64</v>
      </c>
      <c r="G757" s="14">
        <v>0</v>
      </c>
      <c r="H757" s="25" t="s">
        <v>1615</v>
      </c>
      <c r="I757" s="12"/>
    </row>
    <row r="758" spans="1:9" x14ac:dyDescent="0.3">
      <c r="A758" s="11"/>
      <c r="B758" s="12" t="s">
        <v>152</v>
      </c>
      <c r="C758" s="12" t="s">
        <v>1526</v>
      </c>
      <c r="D758" s="12" t="s">
        <v>1652</v>
      </c>
      <c r="E758" s="14">
        <v>320</v>
      </c>
      <c r="F758" s="23">
        <v>0.7</v>
      </c>
      <c r="G758" s="14">
        <v>0</v>
      </c>
      <c r="H758" s="25" t="s">
        <v>1615</v>
      </c>
      <c r="I758" s="12"/>
    </row>
    <row r="759" spans="1:9" x14ac:dyDescent="0.3">
      <c r="A759" s="11"/>
      <c r="B759" s="12" t="s">
        <v>152</v>
      </c>
      <c r="C759" s="12" t="s">
        <v>1527</v>
      </c>
      <c r="D759" s="12" t="s">
        <v>1652</v>
      </c>
      <c r="E759" s="14">
        <v>150</v>
      </c>
      <c r="F759" s="23">
        <v>0.52</v>
      </c>
      <c r="G759" s="14">
        <v>0</v>
      </c>
      <c r="H759" s="25" t="s">
        <v>1615</v>
      </c>
      <c r="I759" s="12"/>
    </row>
    <row r="760" spans="1:9" x14ac:dyDescent="0.3">
      <c r="A760" s="11"/>
      <c r="B760" s="12" t="s">
        <v>152</v>
      </c>
      <c r="C760" s="12" t="s">
        <v>1528</v>
      </c>
      <c r="D760" s="12" t="s">
        <v>1652</v>
      </c>
      <c r="E760" s="14">
        <v>250</v>
      </c>
      <c r="F760" s="23">
        <v>0.62</v>
      </c>
      <c r="G760" s="14">
        <v>36.61</v>
      </c>
      <c r="H760" s="25" t="s">
        <v>1615</v>
      </c>
      <c r="I760" s="12"/>
    </row>
    <row r="761" spans="1:9" x14ac:dyDescent="0.3">
      <c r="A761" s="11"/>
      <c r="B761" s="12" t="s">
        <v>152</v>
      </c>
      <c r="C761" s="12" t="s">
        <v>1529</v>
      </c>
      <c r="D761" s="12" t="s">
        <v>1859</v>
      </c>
      <c r="E761" s="14">
        <v>150</v>
      </c>
      <c r="F761" s="23">
        <v>0.7</v>
      </c>
      <c r="G761" s="14">
        <v>3.33</v>
      </c>
      <c r="H761" s="25" t="s">
        <v>1615</v>
      </c>
      <c r="I761" s="12"/>
    </row>
    <row r="762" spans="1:9" x14ac:dyDescent="0.3">
      <c r="A762" s="11"/>
      <c r="B762" s="12" t="s">
        <v>152</v>
      </c>
      <c r="C762" s="12" t="s">
        <v>1530</v>
      </c>
      <c r="D762" s="12" t="s">
        <v>1860</v>
      </c>
      <c r="E762" s="14">
        <v>150</v>
      </c>
      <c r="F762" s="23">
        <v>0.75</v>
      </c>
      <c r="G762" s="14">
        <v>0</v>
      </c>
      <c r="H762" s="25" t="s">
        <v>1615</v>
      </c>
      <c r="I762" s="12"/>
    </row>
    <row r="763" spans="1:9" x14ac:dyDescent="0.3">
      <c r="A763" s="11"/>
      <c r="B763" s="12" t="s">
        <v>152</v>
      </c>
      <c r="C763" s="12" t="s">
        <v>1531</v>
      </c>
      <c r="D763" s="12" t="s">
        <v>1861</v>
      </c>
      <c r="E763" s="14">
        <v>300</v>
      </c>
      <c r="F763" s="23">
        <v>0.72</v>
      </c>
      <c r="G763" s="14">
        <v>0</v>
      </c>
      <c r="H763" s="25" t="s">
        <v>1615</v>
      </c>
      <c r="I763" s="12"/>
    </row>
    <row r="764" spans="1:9" x14ac:dyDescent="0.3">
      <c r="A764" s="11"/>
      <c r="B764" s="12" t="s">
        <v>152</v>
      </c>
      <c r="C764" s="12" t="s">
        <v>1532</v>
      </c>
      <c r="D764" s="12" t="s">
        <v>1861</v>
      </c>
      <c r="E764" s="14">
        <v>150</v>
      </c>
      <c r="F764" s="23">
        <v>0.57999999999999996</v>
      </c>
      <c r="G764" s="14">
        <v>0</v>
      </c>
      <c r="H764" s="25" t="s">
        <v>1615</v>
      </c>
      <c r="I764" s="12"/>
    </row>
    <row r="765" spans="1:9" x14ac:dyDescent="0.3">
      <c r="A765" s="11"/>
      <c r="B765" s="12" t="s">
        <v>152</v>
      </c>
      <c r="C765" s="12" t="s">
        <v>1533</v>
      </c>
      <c r="D765" s="12" t="s">
        <v>1862</v>
      </c>
      <c r="E765" s="14">
        <v>150</v>
      </c>
      <c r="F765" s="23">
        <v>0.61</v>
      </c>
      <c r="G765" s="14">
        <v>7.92</v>
      </c>
      <c r="H765" s="25" t="s">
        <v>1615</v>
      </c>
      <c r="I765" s="12"/>
    </row>
    <row r="766" spans="1:9" x14ac:dyDescent="0.3">
      <c r="A766" s="11"/>
      <c r="B766" s="12" t="s">
        <v>152</v>
      </c>
      <c r="C766" s="12" t="s">
        <v>1534</v>
      </c>
      <c r="D766" s="12" t="s">
        <v>1652</v>
      </c>
      <c r="E766" s="14">
        <v>150</v>
      </c>
      <c r="F766" s="23">
        <v>0.64</v>
      </c>
      <c r="G766" s="14">
        <v>0</v>
      </c>
      <c r="H766" s="25" t="s">
        <v>1615</v>
      </c>
      <c r="I766" s="12"/>
    </row>
    <row r="767" spans="1:9" x14ac:dyDescent="0.3">
      <c r="A767" s="11"/>
      <c r="B767" s="12" t="s">
        <v>152</v>
      </c>
      <c r="C767" s="12" t="s">
        <v>1535</v>
      </c>
      <c r="D767" s="12" t="s">
        <v>1652</v>
      </c>
      <c r="E767" s="14">
        <v>100</v>
      </c>
      <c r="F767" s="23">
        <v>0.49</v>
      </c>
      <c r="G767" s="14">
        <v>0</v>
      </c>
      <c r="H767" s="25" t="s">
        <v>1615</v>
      </c>
      <c r="I767" s="12"/>
    </row>
    <row r="768" spans="1:9" x14ac:dyDescent="0.3">
      <c r="A768" s="11"/>
      <c r="B768" s="12" t="s">
        <v>152</v>
      </c>
      <c r="C768" s="12" t="s">
        <v>1536</v>
      </c>
      <c r="D768" s="12" t="s">
        <v>1652</v>
      </c>
      <c r="E768" s="14">
        <v>75</v>
      </c>
      <c r="F768" s="23">
        <v>0.61</v>
      </c>
      <c r="G768" s="14">
        <v>0</v>
      </c>
      <c r="H768" s="25" t="s">
        <v>1615</v>
      </c>
      <c r="I768" s="12"/>
    </row>
    <row r="769" spans="1:9" x14ac:dyDescent="0.3">
      <c r="A769" s="11"/>
      <c r="B769" s="12" t="s">
        <v>152</v>
      </c>
      <c r="C769" s="12" t="s">
        <v>1537</v>
      </c>
      <c r="D769" s="12" t="s">
        <v>1652</v>
      </c>
      <c r="E769" s="14">
        <v>150</v>
      </c>
      <c r="F769" s="23">
        <v>0.59</v>
      </c>
      <c r="G769" s="14">
        <v>0</v>
      </c>
      <c r="H769" s="25" t="s">
        <v>1615</v>
      </c>
      <c r="I769" s="12"/>
    </row>
    <row r="770" spans="1:9" x14ac:dyDescent="0.3">
      <c r="A770" s="11"/>
      <c r="B770" s="12" t="s">
        <v>152</v>
      </c>
      <c r="C770" s="12" t="s">
        <v>1538</v>
      </c>
      <c r="D770" s="12" t="s">
        <v>1863</v>
      </c>
      <c r="E770" s="14">
        <v>75</v>
      </c>
      <c r="F770" s="23">
        <v>0.46</v>
      </c>
      <c r="G770" s="14">
        <v>0</v>
      </c>
      <c r="H770" s="25" t="s">
        <v>1615</v>
      </c>
      <c r="I770" s="12"/>
    </row>
    <row r="771" spans="1:9" x14ac:dyDescent="0.3">
      <c r="A771" s="11"/>
      <c r="B771" s="12" t="s">
        <v>153</v>
      </c>
      <c r="C771" s="12" t="s">
        <v>1539</v>
      </c>
      <c r="D771" s="12" t="s">
        <v>1749</v>
      </c>
      <c r="E771" s="14">
        <v>300</v>
      </c>
      <c r="F771" s="23">
        <v>0.64</v>
      </c>
      <c r="G771" s="14">
        <v>3.42</v>
      </c>
      <c r="H771" s="25" t="s">
        <v>1615</v>
      </c>
      <c r="I771" s="12"/>
    </row>
    <row r="772" spans="1:9" x14ac:dyDescent="0.3">
      <c r="A772" s="11"/>
      <c r="B772" s="12" t="s">
        <v>156</v>
      </c>
      <c r="C772" s="12" t="s">
        <v>1540</v>
      </c>
      <c r="D772" s="12" t="s">
        <v>1864</v>
      </c>
      <c r="E772" s="14">
        <v>150</v>
      </c>
      <c r="F772" s="23">
        <v>0.57999999999999996</v>
      </c>
      <c r="G772" s="14">
        <v>40.14</v>
      </c>
      <c r="H772" s="25" t="s">
        <v>1615</v>
      </c>
      <c r="I772" s="12"/>
    </row>
    <row r="773" spans="1:9" x14ac:dyDescent="0.3">
      <c r="A773" s="11"/>
      <c r="B773" s="12" t="s">
        <v>153</v>
      </c>
      <c r="C773" s="12" t="s">
        <v>1541</v>
      </c>
      <c r="D773" s="12" t="s">
        <v>1749</v>
      </c>
      <c r="E773" s="14">
        <v>250</v>
      </c>
      <c r="F773" s="23">
        <v>0.56999999999999995</v>
      </c>
      <c r="G773" s="14">
        <v>0</v>
      </c>
      <c r="H773" s="25" t="s">
        <v>1615</v>
      </c>
      <c r="I773" s="12"/>
    </row>
    <row r="774" spans="1:9" x14ac:dyDescent="0.3">
      <c r="A774" s="11"/>
      <c r="B774" s="12" t="s">
        <v>153</v>
      </c>
      <c r="C774" s="12" t="s">
        <v>1542</v>
      </c>
      <c r="D774" s="12" t="s">
        <v>1737</v>
      </c>
      <c r="E774" s="14">
        <v>150</v>
      </c>
      <c r="F774" s="23">
        <v>0.56999999999999995</v>
      </c>
      <c r="G774" s="14">
        <v>0</v>
      </c>
      <c r="H774" s="25" t="s">
        <v>1615</v>
      </c>
      <c r="I774" s="12"/>
    </row>
    <row r="775" spans="1:9" x14ac:dyDescent="0.3">
      <c r="A775" s="11"/>
      <c r="B775" s="12" t="s">
        <v>153</v>
      </c>
      <c r="C775" s="12" t="s">
        <v>1543</v>
      </c>
      <c r="D775" s="12" t="s">
        <v>1737</v>
      </c>
      <c r="E775" s="14">
        <v>150</v>
      </c>
      <c r="F775" s="23">
        <v>0.61</v>
      </c>
      <c r="G775" s="14">
        <v>0</v>
      </c>
      <c r="H775" s="25" t="s">
        <v>1615</v>
      </c>
      <c r="I775" s="12"/>
    </row>
    <row r="776" spans="1:9" x14ac:dyDescent="0.3">
      <c r="A776" s="11"/>
      <c r="B776" s="12" t="s">
        <v>153</v>
      </c>
      <c r="C776" s="12" t="s">
        <v>1544</v>
      </c>
      <c r="D776" s="12" t="s">
        <v>1865</v>
      </c>
      <c r="E776" s="14">
        <v>112.5</v>
      </c>
      <c r="F776" s="23">
        <v>0.56000000000000005</v>
      </c>
      <c r="G776" s="14">
        <v>15.4</v>
      </c>
      <c r="H776" s="25" t="s">
        <v>1615</v>
      </c>
      <c r="I776" s="12"/>
    </row>
    <row r="777" spans="1:9" x14ac:dyDescent="0.3">
      <c r="A777" s="11"/>
      <c r="B777" s="12" t="s">
        <v>153</v>
      </c>
      <c r="C777" s="12" t="s">
        <v>1545</v>
      </c>
      <c r="D777" s="12" t="s">
        <v>1749</v>
      </c>
      <c r="E777" s="14">
        <v>75</v>
      </c>
      <c r="F777" s="23">
        <v>0.56999999999999995</v>
      </c>
      <c r="G777" s="14">
        <v>0</v>
      </c>
      <c r="H777" s="25" t="s">
        <v>1615</v>
      </c>
      <c r="I777" s="12"/>
    </row>
    <row r="778" spans="1:9" x14ac:dyDescent="0.3">
      <c r="A778" s="11"/>
      <c r="B778" s="12" t="s">
        <v>153</v>
      </c>
      <c r="C778" s="12" t="s">
        <v>1546</v>
      </c>
      <c r="D778" s="12" t="s">
        <v>1749</v>
      </c>
      <c r="E778" s="14">
        <v>225</v>
      </c>
      <c r="F778" s="23">
        <v>0.64</v>
      </c>
      <c r="G778" s="14">
        <v>3</v>
      </c>
      <c r="H778" s="25" t="s">
        <v>1615</v>
      </c>
      <c r="I778" s="12"/>
    </row>
    <row r="779" spans="1:9" x14ac:dyDescent="0.3">
      <c r="A779" s="11"/>
      <c r="B779" s="12" t="s">
        <v>153</v>
      </c>
      <c r="C779" s="12" t="s">
        <v>1547</v>
      </c>
      <c r="D779" s="12" t="s">
        <v>1749</v>
      </c>
      <c r="E779" s="14">
        <v>150</v>
      </c>
      <c r="F779" s="23">
        <v>0.47</v>
      </c>
      <c r="G779" s="14">
        <v>0</v>
      </c>
      <c r="H779" s="25" t="s">
        <v>1615</v>
      </c>
      <c r="I779" s="12"/>
    </row>
    <row r="780" spans="1:9" x14ac:dyDescent="0.3">
      <c r="A780" s="11"/>
      <c r="B780" s="12" t="s">
        <v>153</v>
      </c>
      <c r="C780" s="12" t="s">
        <v>1548</v>
      </c>
      <c r="D780" s="12" t="s">
        <v>1616</v>
      </c>
      <c r="E780" s="14">
        <v>300</v>
      </c>
      <c r="F780" s="23">
        <v>0.75</v>
      </c>
      <c r="G780" s="14">
        <v>20</v>
      </c>
      <c r="H780" s="25" t="s">
        <v>1615</v>
      </c>
      <c r="I780" s="12"/>
    </row>
    <row r="781" spans="1:9" x14ac:dyDescent="0.3">
      <c r="A781" s="11"/>
      <c r="B781" s="12" t="s">
        <v>153</v>
      </c>
      <c r="C781" s="12" t="s">
        <v>1549</v>
      </c>
      <c r="D781" s="12" t="s">
        <v>1749</v>
      </c>
      <c r="E781" s="14">
        <v>75</v>
      </c>
      <c r="F781" s="23">
        <v>0.6</v>
      </c>
      <c r="G781" s="14">
        <v>0</v>
      </c>
      <c r="H781" s="25" t="s">
        <v>1615</v>
      </c>
      <c r="I781" s="12"/>
    </row>
    <row r="782" spans="1:9" x14ac:dyDescent="0.3">
      <c r="A782" s="11"/>
      <c r="B782" s="12" t="s">
        <v>153</v>
      </c>
      <c r="C782" s="12" t="s">
        <v>1550</v>
      </c>
      <c r="D782" s="12" t="s">
        <v>1866</v>
      </c>
      <c r="E782" s="14">
        <v>400</v>
      </c>
      <c r="F782" s="23">
        <v>0.62</v>
      </c>
      <c r="G782" s="14">
        <v>40</v>
      </c>
      <c r="H782" s="25" t="s">
        <v>1615</v>
      </c>
      <c r="I782" s="12"/>
    </row>
    <row r="783" spans="1:9" x14ac:dyDescent="0.3">
      <c r="A783" s="11"/>
      <c r="B783" s="12" t="s">
        <v>153</v>
      </c>
      <c r="C783" s="12" t="s">
        <v>1551</v>
      </c>
      <c r="D783" s="12" t="s">
        <v>1866</v>
      </c>
      <c r="E783" s="14">
        <v>300</v>
      </c>
      <c r="F783" s="23">
        <v>0.52</v>
      </c>
      <c r="G783" s="14">
        <v>0</v>
      </c>
      <c r="H783" s="25" t="s">
        <v>1615</v>
      </c>
      <c r="I783" s="12"/>
    </row>
    <row r="784" spans="1:9" x14ac:dyDescent="0.3">
      <c r="A784" s="11"/>
      <c r="B784" s="12" t="s">
        <v>153</v>
      </c>
      <c r="C784" s="12" t="s">
        <v>1552</v>
      </c>
      <c r="D784" s="12" t="s">
        <v>1761</v>
      </c>
      <c r="E784" s="14">
        <v>630</v>
      </c>
      <c r="F784" s="23">
        <v>0.54</v>
      </c>
      <c r="G784" s="14">
        <v>46.8</v>
      </c>
      <c r="H784" s="25" t="s">
        <v>1615</v>
      </c>
      <c r="I784" s="12"/>
    </row>
    <row r="785" spans="1:9" x14ac:dyDescent="0.3">
      <c r="A785" s="11"/>
      <c r="B785" s="12" t="s">
        <v>153</v>
      </c>
      <c r="C785" s="12" t="s">
        <v>1553</v>
      </c>
      <c r="D785" s="12" t="s">
        <v>1866</v>
      </c>
      <c r="E785" s="14">
        <v>250</v>
      </c>
      <c r="F785" s="23">
        <v>0.68</v>
      </c>
      <c r="G785" s="14">
        <v>0</v>
      </c>
      <c r="H785" s="25" t="s">
        <v>1615</v>
      </c>
      <c r="I785" s="12"/>
    </row>
    <row r="786" spans="1:9" x14ac:dyDescent="0.3">
      <c r="A786" s="11"/>
      <c r="B786" s="12" t="s">
        <v>153</v>
      </c>
      <c r="C786" s="12" t="s">
        <v>1554</v>
      </c>
      <c r="D786" s="12" t="s">
        <v>1760</v>
      </c>
      <c r="E786" s="14">
        <v>250</v>
      </c>
      <c r="F786" s="23">
        <v>0.51</v>
      </c>
      <c r="G786" s="14">
        <v>0</v>
      </c>
      <c r="H786" s="25" t="s">
        <v>1615</v>
      </c>
      <c r="I786" s="12"/>
    </row>
    <row r="787" spans="1:9" x14ac:dyDescent="0.3">
      <c r="A787" s="11"/>
      <c r="B787" s="12" t="s">
        <v>153</v>
      </c>
      <c r="C787" s="12" t="s">
        <v>1555</v>
      </c>
      <c r="D787" s="12" t="s">
        <v>1866</v>
      </c>
      <c r="E787" s="14">
        <v>250</v>
      </c>
      <c r="F787" s="23">
        <v>0.49</v>
      </c>
      <c r="G787" s="14">
        <v>19.8</v>
      </c>
      <c r="H787" s="25" t="s">
        <v>1615</v>
      </c>
      <c r="I787" s="12"/>
    </row>
    <row r="788" spans="1:9" x14ac:dyDescent="0.3">
      <c r="A788" s="11"/>
      <c r="B788" s="12" t="s">
        <v>153</v>
      </c>
      <c r="C788" s="12" t="s">
        <v>1556</v>
      </c>
      <c r="D788" s="12" t="s">
        <v>1749</v>
      </c>
      <c r="E788" s="14">
        <v>250</v>
      </c>
      <c r="F788" s="23">
        <v>0.56999999999999995</v>
      </c>
      <c r="G788" s="14">
        <v>0</v>
      </c>
      <c r="H788" s="25" t="s">
        <v>1615</v>
      </c>
      <c r="I788" s="12"/>
    </row>
    <row r="789" spans="1:9" x14ac:dyDescent="0.3">
      <c r="A789" s="11"/>
      <c r="B789" s="12" t="s">
        <v>153</v>
      </c>
      <c r="C789" s="12" t="s">
        <v>1557</v>
      </c>
      <c r="D789" s="12" t="s">
        <v>1866</v>
      </c>
      <c r="E789" s="14">
        <v>250</v>
      </c>
      <c r="F789" s="23">
        <v>0.56999999999999995</v>
      </c>
      <c r="G789" s="14">
        <v>0</v>
      </c>
      <c r="H789" s="25" t="s">
        <v>1615</v>
      </c>
      <c r="I789" s="12"/>
    </row>
    <row r="790" spans="1:9" x14ac:dyDescent="0.3">
      <c r="A790" s="11"/>
      <c r="B790" s="12" t="s">
        <v>153</v>
      </c>
      <c r="C790" s="12" t="s">
        <v>1558</v>
      </c>
      <c r="D790" s="12" t="s">
        <v>1866</v>
      </c>
      <c r="E790" s="14">
        <v>250</v>
      </c>
      <c r="F790" s="23">
        <v>0.66</v>
      </c>
      <c r="G790" s="14">
        <v>0</v>
      </c>
      <c r="H790" s="25" t="s">
        <v>1615</v>
      </c>
      <c r="I790" s="12"/>
    </row>
    <row r="791" spans="1:9" x14ac:dyDescent="0.3">
      <c r="A791" s="11"/>
      <c r="B791" s="12" t="s">
        <v>153</v>
      </c>
      <c r="C791" s="12" t="s">
        <v>1559</v>
      </c>
      <c r="D791" s="12" t="s">
        <v>1866</v>
      </c>
      <c r="E791" s="14">
        <v>250</v>
      </c>
      <c r="F791" s="23">
        <v>0.66</v>
      </c>
      <c r="G791" s="14">
        <v>0</v>
      </c>
      <c r="H791" s="25" t="s">
        <v>1615</v>
      </c>
      <c r="I791" s="12"/>
    </row>
    <row r="792" spans="1:9" x14ac:dyDescent="0.3">
      <c r="A792" s="11"/>
      <c r="B792" s="12" t="s">
        <v>153</v>
      </c>
      <c r="C792" s="12" t="s">
        <v>1560</v>
      </c>
      <c r="D792" s="12" t="s">
        <v>1730</v>
      </c>
      <c r="E792" s="14">
        <v>225</v>
      </c>
      <c r="F792" s="23">
        <v>0.62</v>
      </c>
      <c r="G792" s="14">
        <v>0</v>
      </c>
      <c r="H792" s="25" t="s">
        <v>1615</v>
      </c>
      <c r="I792" s="12"/>
    </row>
    <row r="793" spans="1:9" x14ac:dyDescent="0.3">
      <c r="A793" s="11"/>
      <c r="B793" s="12" t="s">
        <v>153</v>
      </c>
      <c r="C793" s="12" t="s">
        <v>1561</v>
      </c>
      <c r="D793" s="12" t="s">
        <v>1730</v>
      </c>
      <c r="E793" s="14">
        <v>150</v>
      </c>
      <c r="F793" s="23">
        <v>0.67</v>
      </c>
      <c r="G793" s="14">
        <v>0</v>
      </c>
      <c r="H793" s="25" t="s">
        <v>1615</v>
      </c>
      <c r="I793" s="12"/>
    </row>
    <row r="794" spans="1:9" x14ac:dyDescent="0.3">
      <c r="A794" s="11"/>
      <c r="B794" s="12" t="s">
        <v>153</v>
      </c>
      <c r="C794" s="12" t="s">
        <v>1562</v>
      </c>
      <c r="D794" s="12" t="s">
        <v>1730</v>
      </c>
      <c r="E794" s="14">
        <v>50</v>
      </c>
      <c r="F794" s="23">
        <v>0.75</v>
      </c>
      <c r="G794" s="14">
        <v>0</v>
      </c>
      <c r="H794" s="25" t="s">
        <v>1615</v>
      </c>
      <c r="I794" s="12"/>
    </row>
    <row r="795" spans="1:9" x14ac:dyDescent="0.3">
      <c r="A795" s="11"/>
      <c r="B795" s="12" t="s">
        <v>153</v>
      </c>
      <c r="C795" s="12" t="s">
        <v>1563</v>
      </c>
      <c r="D795" s="12" t="s">
        <v>1730</v>
      </c>
      <c r="E795" s="14">
        <v>300</v>
      </c>
      <c r="F795" s="23">
        <v>0.47</v>
      </c>
      <c r="G795" s="14">
        <v>0</v>
      </c>
      <c r="H795" s="25" t="s">
        <v>1615</v>
      </c>
      <c r="I795" s="12"/>
    </row>
    <row r="796" spans="1:9" x14ac:dyDescent="0.3">
      <c r="A796" s="11"/>
      <c r="B796" s="12" t="s">
        <v>153</v>
      </c>
      <c r="C796" s="12" t="s">
        <v>1564</v>
      </c>
      <c r="D796" s="12" t="s">
        <v>1866</v>
      </c>
      <c r="E796" s="14">
        <v>320</v>
      </c>
      <c r="F796" s="23">
        <v>0.66</v>
      </c>
      <c r="G796" s="14">
        <v>2</v>
      </c>
      <c r="H796" s="25" t="s">
        <v>1615</v>
      </c>
      <c r="I796" s="12"/>
    </row>
    <row r="797" spans="1:9" x14ac:dyDescent="0.3">
      <c r="A797" s="11"/>
      <c r="B797" s="12" t="s">
        <v>153</v>
      </c>
      <c r="C797" s="12" t="s">
        <v>1565</v>
      </c>
      <c r="D797" s="12" t="s">
        <v>1730</v>
      </c>
      <c r="E797" s="14">
        <v>150</v>
      </c>
      <c r="F797" s="23">
        <v>0.57999999999999996</v>
      </c>
      <c r="G797" s="14">
        <v>5.18</v>
      </c>
      <c r="H797" s="25" t="s">
        <v>1615</v>
      </c>
      <c r="I797" s="12"/>
    </row>
    <row r="798" spans="1:9" x14ac:dyDescent="0.3">
      <c r="A798" s="11"/>
      <c r="B798" s="12" t="s">
        <v>153</v>
      </c>
      <c r="C798" s="12" t="s">
        <v>1566</v>
      </c>
      <c r="D798" s="12" t="s">
        <v>1730</v>
      </c>
      <c r="E798" s="14">
        <v>150</v>
      </c>
      <c r="F798" s="23">
        <v>0.62</v>
      </c>
      <c r="G798" s="14">
        <v>0</v>
      </c>
      <c r="H798" s="25" t="s">
        <v>1615</v>
      </c>
      <c r="I798" s="12"/>
    </row>
    <row r="799" spans="1:9" x14ac:dyDescent="0.3">
      <c r="A799" s="11"/>
      <c r="B799" s="12" t="s">
        <v>153</v>
      </c>
      <c r="C799" s="12" t="s">
        <v>1567</v>
      </c>
      <c r="D799" s="12" t="s">
        <v>1867</v>
      </c>
      <c r="E799" s="14">
        <v>160</v>
      </c>
      <c r="F799" s="23">
        <v>0.48</v>
      </c>
      <c r="G799" s="14">
        <v>0</v>
      </c>
      <c r="H799" s="25" t="s">
        <v>1615</v>
      </c>
      <c r="I799" s="12"/>
    </row>
    <row r="800" spans="1:9" x14ac:dyDescent="0.3">
      <c r="A800" s="11"/>
      <c r="B800" s="12" t="s">
        <v>153</v>
      </c>
      <c r="C800" s="12" t="s">
        <v>1568</v>
      </c>
      <c r="D800" s="12" t="s">
        <v>1730</v>
      </c>
      <c r="E800" s="14">
        <v>160</v>
      </c>
      <c r="F800" s="23">
        <v>0.72</v>
      </c>
      <c r="G800" s="14">
        <v>0</v>
      </c>
      <c r="H800" s="25" t="s">
        <v>1615</v>
      </c>
      <c r="I800" s="12"/>
    </row>
    <row r="801" spans="1:9" x14ac:dyDescent="0.3">
      <c r="A801" s="11"/>
      <c r="B801" s="12" t="s">
        <v>153</v>
      </c>
      <c r="C801" s="12" t="s">
        <v>1569</v>
      </c>
      <c r="D801" s="12" t="s">
        <v>1868</v>
      </c>
      <c r="E801" s="14">
        <v>320</v>
      </c>
      <c r="F801" s="23">
        <v>0.72</v>
      </c>
      <c r="G801" s="14">
        <v>0</v>
      </c>
      <c r="H801" s="25" t="s">
        <v>1615</v>
      </c>
      <c r="I801" s="12"/>
    </row>
    <row r="802" spans="1:9" x14ac:dyDescent="0.3">
      <c r="A802" s="11"/>
      <c r="B802" s="12" t="s">
        <v>153</v>
      </c>
      <c r="C802" s="12" t="s">
        <v>1570</v>
      </c>
      <c r="D802" s="12" t="s">
        <v>1730</v>
      </c>
      <c r="E802" s="14">
        <v>150</v>
      </c>
      <c r="F802" s="23">
        <v>0.56999999999999995</v>
      </c>
      <c r="G802" s="14">
        <v>0</v>
      </c>
      <c r="H802" s="25" t="s">
        <v>1615</v>
      </c>
      <c r="I802" s="12"/>
    </row>
    <row r="803" spans="1:9" x14ac:dyDescent="0.3">
      <c r="A803" s="11"/>
      <c r="B803" s="12" t="s">
        <v>153</v>
      </c>
      <c r="C803" s="12" t="s">
        <v>1571</v>
      </c>
      <c r="D803" s="12" t="s">
        <v>1846</v>
      </c>
      <c r="E803" s="14">
        <v>250</v>
      </c>
      <c r="F803" s="23">
        <v>0.56000000000000005</v>
      </c>
      <c r="G803" s="14">
        <v>0</v>
      </c>
      <c r="H803" s="25" t="s">
        <v>1615</v>
      </c>
      <c r="I803" s="12"/>
    </row>
    <row r="804" spans="1:9" x14ac:dyDescent="0.3">
      <c r="A804" s="11"/>
      <c r="B804" s="12" t="s">
        <v>153</v>
      </c>
      <c r="C804" s="12" t="s">
        <v>1572</v>
      </c>
      <c r="D804" s="12" t="s">
        <v>1730</v>
      </c>
      <c r="E804" s="14">
        <v>250</v>
      </c>
      <c r="F804" s="23">
        <v>0.6</v>
      </c>
      <c r="G804" s="14">
        <v>0</v>
      </c>
      <c r="H804" s="25" t="s">
        <v>1615</v>
      </c>
      <c r="I804" s="12"/>
    </row>
    <row r="805" spans="1:9" x14ac:dyDescent="0.3">
      <c r="A805" s="11"/>
      <c r="B805" s="12" t="s">
        <v>153</v>
      </c>
      <c r="C805" s="12" t="s">
        <v>1573</v>
      </c>
      <c r="D805" s="12" t="s">
        <v>1730</v>
      </c>
      <c r="E805" s="14">
        <v>250</v>
      </c>
      <c r="F805" s="23">
        <v>0.56000000000000005</v>
      </c>
      <c r="G805" s="14">
        <v>0</v>
      </c>
      <c r="H805" s="25" t="s">
        <v>1615</v>
      </c>
      <c r="I805" s="12"/>
    </row>
    <row r="806" spans="1:9" x14ac:dyDescent="0.3">
      <c r="A806" s="11"/>
      <c r="B806" s="12" t="s">
        <v>153</v>
      </c>
      <c r="C806" s="12" t="s">
        <v>1574</v>
      </c>
      <c r="D806" s="12" t="s">
        <v>1730</v>
      </c>
      <c r="E806" s="14">
        <v>250</v>
      </c>
      <c r="F806" s="23">
        <v>0.48</v>
      </c>
      <c r="G806" s="14">
        <v>0</v>
      </c>
      <c r="H806" s="25" t="s">
        <v>1615</v>
      </c>
      <c r="I806" s="12"/>
    </row>
    <row r="807" spans="1:9" x14ac:dyDescent="0.3">
      <c r="A807" s="11"/>
      <c r="B807" s="12" t="s">
        <v>153</v>
      </c>
      <c r="C807" s="12" t="s">
        <v>1575</v>
      </c>
      <c r="D807" s="12" t="s">
        <v>1846</v>
      </c>
      <c r="E807" s="14">
        <v>160</v>
      </c>
      <c r="F807" s="23">
        <v>0.45</v>
      </c>
      <c r="G807" s="14">
        <v>0</v>
      </c>
      <c r="H807" s="25" t="s">
        <v>1615</v>
      </c>
      <c r="I807" s="12"/>
    </row>
    <row r="808" spans="1:9" x14ac:dyDescent="0.3">
      <c r="A808" s="11"/>
      <c r="B808" s="12" t="s">
        <v>153</v>
      </c>
      <c r="C808" s="12" t="s">
        <v>1576</v>
      </c>
      <c r="D808" s="12" t="s">
        <v>1668</v>
      </c>
      <c r="E808" s="14">
        <v>225</v>
      </c>
      <c r="F808" s="23">
        <v>0.67</v>
      </c>
      <c r="G808" s="14">
        <v>43.75</v>
      </c>
      <c r="H808" s="25" t="s">
        <v>1615</v>
      </c>
      <c r="I808" s="12"/>
    </row>
    <row r="809" spans="1:9" x14ac:dyDescent="0.3">
      <c r="A809" s="11"/>
      <c r="B809" s="12" t="s">
        <v>153</v>
      </c>
      <c r="C809" s="12" t="s">
        <v>1577</v>
      </c>
      <c r="D809" s="12" t="s">
        <v>1846</v>
      </c>
      <c r="E809" s="14">
        <v>225</v>
      </c>
      <c r="F809" s="23">
        <v>0.56000000000000005</v>
      </c>
      <c r="G809" s="14">
        <v>57.24</v>
      </c>
      <c r="H809" s="25" t="s">
        <v>1615</v>
      </c>
      <c r="I809" s="12"/>
    </row>
    <row r="810" spans="1:9" x14ac:dyDescent="0.3">
      <c r="A810" s="11"/>
      <c r="B810" s="12" t="s">
        <v>153</v>
      </c>
      <c r="C810" s="12" t="s">
        <v>1578</v>
      </c>
      <c r="D810" s="12" t="s">
        <v>1846</v>
      </c>
      <c r="E810" s="14">
        <v>250</v>
      </c>
      <c r="F810" s="23">
        <v>0.71</v>
      </c>
      <c r="G810" s="14">
        <v>0</v>
      </c>
      <c r="H810" s="25" t="s">
        <v>1615</v>
      </c>
      <c r="I810" s="12"/>
    </row>
    <row r="811" spans="1:9" x14ac:dyDescent="0.3">
      <c r="A811" s="11"/>
      <c r="B811" s="12" t="s">
        <v>153</v>
      </c>
      <c r="C811" s="12" t="s">
        <v>1579</v>
      </c>
      <c r="D811" s="12" t="s">
        <v>1846</v>
      </c>
      <c r="E811" s="14">
        <v>250</v>
      </c>
      <c r="F811" s="23">
        <v>0.47</v>
      </c>
      <c r="G811" s="14">
        <v>114.48</v>
      </c>
      <c r="H811" s="25" t="s">
        <v>1615</v>
      </c>
      <c r="I811" s="12"/>
    </row>
    <row r="812" spans="1:9" x14ac:dyDescent="0.3">
      <c r="A812" s="11"/>
      <c r="B812" s="12" t="s">
        <v>153</v>
      </c>
      <c r="C812" s="12" t="s">
        <v>1580</v>
      </c>
      <c r="D812" s="12" t="s">
        <v>1846</v>
      </c>
      <c r="E812" s="14">
        <v>250</v>
      </c>
      <c r="F812" s="23">
        <v>0.52</v>
      </c>
      <c r="G812" s="14">
        <v>0</v>
      </c>
      <c r="H812" s="25" t="s">
        <v>1615</v>
      </c>
      <c r="I812" s="12"/>
    </row>
    <row r="813" spans="1:9" x14ac:dyDescent="0.3">
      <c r="A813" s="11"/>
      <c r="B813" s="12" t="s">
        <v>156</v>
      </c>
      <c r="C813" s="12" t="s">
        <v>1581</v>
      </c>
      <c r="D813" s="12" t="s">
        <v>1869</v>
      </c>
      <c r="E813" s="14">
        <v>150</v>
      </c>
      <c r="F813" s="23">
        <v>0.61</v>
      </c>
      <c r="G813" s="14">
        <v>0</v>
      </c>
      <c r="H813" s="25" t="s">
        <v>1615</v>
      </c>
      <c r="I813" s="12"/>
    </row>
    <row r="814" spans="1:9" x14ac:dyDescent="0.3">
      <c r="A814" s="11"/>
      <c r="B814" s="12" t="s">
        <v>156</v>
      </c>
      <c r="C814" s="12" t="s">
        <v>1582</v>
      </c>
      <c r="D814" s="12" t="s">
        <v>1714</v>
      </c>
      <c r="E814" s="14">
        <v>100</v>
      </c>
      <c r="F814" s="23">
        <v>0.55000000000000004</v>
      </c>
      <c r="G814" s="14">
        <v>0</v>
      </c>
      <c r="H814" s="25" t="s">
        <v>1615</v>
      </c>
      <c r="I814" s="12"/>
    </row>
    <row r="815" spans="1:9" x14ac:dyDescent="0.3">
      <c r="A815" s="11"/>
      <c r="B815" s="12" t="s">
        <v>156</v>
      </c>
      <c r="C815" s="12" t="s">
        <v>1583</v>
      </c>
      <c r="D815" s="12" t="s">
        <v>1869</v>
      </c>
      <c r="E815" s="14">
        <v>150</v>
      </c>
      <c r="F815" s="23">
        <v>0.72</v>
      </c>
      <c r="G815" s="14">
        <v>30.375</v>
      </c>
      <c r="H815" s="25" t="s">
        <v>1615</v>
      </c>
      <c r="I815" s="12"/>
    </row>
    <row r="816" spans="1:9" x14ac:dyDescent="0.3">
      <c r="A816" s="11"/>
      <c r="B816" s="12" t="s">
        <v>156</v>
      </c>
      <c r="C816" s="12" t="s">
        <v>1584</v>
      </c>
      <c r="D816" s="12" t="s">
        <v>1869</v>
      </c>
      <c r="E816" s="14">
        <v>150</v>
      </c>
      <c r="F816" s="23">
        <v>0.63</v>
      </c>
      <c r="G816" s="14">
        <v>0</v>
      </c>
      <c r="H816" s="25" t="s">
        <v>1615</v>
      </c>
      <c r="I816" s="12"/>
    </row>
    <row r="817" spans="1:9" x14ac:dyDescent="0.3">
      <c r="A817" s="11"/>
      <c r="B817" s="12" t="s">
        <v>154</v>
      </c>
      <c r="C817" s="12" t="s">
        <v>1585</v>
      </c>
      <c r="D817" s="12" t="s">
        <v>1870</v>
      </c>
      <c r="E817" s="14">
        <v>112.5</v>
      </c>
      <c r="F817" s="23">
        <v>0.69</v>
      </c>
      <c r="G817" s="14">
        <v>0</v>
      </c>
      <c r="H817" s="25" t="s">
        <v>1615</v>
      </c>
      <c r="I817" s="12"/>
    </row>
    <row r="818" spans="1:9" x14ac:dyDescent="0.3">
      <c r="A818" s="11"/>
      <c r="B818" s="12" t="s">
        <v>156</v>
      </c>
      <c r="C818" s="12" t="s">
        <v>1586</v>
      </c>
      <c r="D818" s="12" t="s">
        <v>1869</v>
      </c>
      <c r="E818" s="14">
        <v>300</v>
      </c>
      <c r="F818" s="23">
        <v>0.69</v>
      </c>
      <c r="G818" s="14">
        <v>0</v>
      </c>
      <c r="H818" s="25" t="s">
        <v>1615</v>
      </c>
      <c r="I818" s="12"/>
    </row>
    <row r="819" spans="1:9" x14ac:dyDescent="0.3">
      <c r="A819" s="11"/>
      <c r="B819" s="12" t="s">
        <v>156</v>
      </c>
      <c r="C819" s="12" t="s">
        <v>1587</v>
      </c>
      <c r="D819" s="12" t="s">
        <v>1712</v>
      </c>
      <c r="E819" s="14">
        <v>300</v>
      </c>
      <c r="F819" s="23">
        <v>0.52</v>
      </c>
      <c r="G819" s="14">
        <v>0</v>
      </c>
      <c r="H819" s="25" t="s">
        <v>1615</v>
      </c>
      <c r="I819" s="12"/>
    </row>
    <row r="820" spans="1:9" x14ac:dyDescent="0.3">
      <c r="A820" s="11"/>
      <c r="B820" s="12" t="s">
        <v>156</v>
      </c>
      <c r="C820" s="12" t="s">
        <v>1588</v>
      </c>
      <c r="D820" s="12" t="s">
        <v>1871</v>
      </c>
      <c r="E820" s="14">
        <v>150</v>
      </c>
      <c r="F820" s="23">
        <v>0.57999999999999996</v>
      </c>
      <c r="G820" s="14">
        <v>0</v>
      </c>
      <c r="H820" s="25" t="s">
        <v>1615</v>
      </c>
      <c r="I820" s="12"/>
    </row>
    <row r="821" spans="1:9" x14ac:dyDescent="0.3">
      <c r="A821" s="11"/>
      <c r="B821" s="12" t="s">
        <v>156</v>
      </c>
      <c r="C821" s="12" t="s">
        <v>1589</v>
      </c>
      <c r="D821" s="12" t="s">
        <v>1871</v>
      </c>
      <c r="E821" s="14">
        <v>150</v>
      </c>
      <c r="F821" s="23">
        <v>0.56999999999999995</v>
      </c>
      <c r="G821" s="14">
        <v>0</v>
      </c>
      <c r="H821" s="25" t="s">
        <v>1615</v>
      </c>
      <c r="I821" s="12"/>
    </row>
    <row r="822" spans="1:9" x14ac:dyDescent="0.3">
      <c r="A822" s="11"/>
      <c r="B822" s="12" t="s">
        <v>156</v>
      </c>
      <c r="C822" s="12" t="s">
        <v>1590</v>
      </c>
      <c r="D822" s="12" t="s">
        <v>1869</v>
      </c>
      <c r="E822" s="14">
        <v>150</v>
      </c>
      <c r="F822" s="23">
        <v>0.56000000000000005</v>
      </c>
      <c r="G822" s="14">
        <v>0</v>
      </c>
      <c r="H822" s="25" t="s">
        <v>1615</v>
      </c>
      <c r="I822" s="12"/>
    </row>
    <row r="823" spans="1:9" x14ac:dyDescent="0.3">
      <c r="A823" s="11"/>
      <c r="B823" s="12" t="s">
        <v>154</v>
      </c>
      <c r="C823" s="12" t="s">
        <v>1591</v>
      </c>
      <c r="D823" s="12" t="s">
        <v>1780</v>
      </c>
      <c r="E823" s="14">
        <v>150</v>
      </c>
      <c r="F823" s="23">
        <v>0.73</v>
      </c>
      <c r="G823" s="14">
        <v>0</v>
      </c>
      <c r="H823" s="25" t="s">
        <v>1615</v>
      </c>
      <c r="I823" s="12"/>
    </row>
    <row r="824" spans="1:9" x14ac:dyDescent="0.3">
      <c r="A824" s="11"/>
      <c r="B824" s="12" t="s">
        <v>154</v>
      </c>
      <c r="C824" s="12" t="s">
        <v>1592</v>
      </c>
      <c r="D824" s="12" t="s">
        <v>1872</v>
      </c>
      <c r="E824" s="14">
        <v>100</v>
      </c>
      <c r="F824" s="23">
        <v>0.53</v>
      </c>
      <c r="G824" s="14">
        <v>0</v>
      </c>
      <c r="H824" s="25" t="s">
        <v>1615</v>
      </c>
      <c r="I824" s="12"/>
    </row>
    <row r="825" spans="1:9" x14ac:dyDescent="0.3">
      <c r="A825" s="11"/>
      <c r="B825" s="12" t="s">
        <v>154</v>
      </c>
      <c r="C825" s="12" t="s">
        <v>1593</v>
      </c>
      <c r="D825" s="12" t="s">
        <v>1872</v>
      </c>
      <c r="E825" s="14">
        <v>112.5</v>
      </c>
      <c r="F825" s="23">
        <v>0.55000000000000004</v>
      </c>
      <c r="G825" s="14">
        <v>65</v>
      </c>
      <c r="H825" s="25" t="s">
        <v>1615</v>
      </c>
      <c r="I825" s="12"/>
    </row>
    <row r="826" spans="1:9" x14ac:dyDescent="0.3">
      <c r="A826" s="11"/>
      <c r="B826" s="12" t="s">
        <v>154</v>
      </c>
      <c r="C826" s="12" t="s">
        <v>1594</v>
      </c>
      <c r="D826" s="12" t="s">
        <v>1872</v>
      </c>
      <c r="E826" s="14">
        <v>150</v>
      </c>
      <c r="F826" s="23">
        <v>0.53</v>
      </c>
      <c r="G826" s="14">
        <v>0</v>
      </c>
      <c r="H826" s="25" t="s">
        <v>1615</v>
      </c>
      <c r="I826" s="12"/>
    </row>
    <row r="827" spans="1:9" x14ac:dyDescent="0.3">
      <c r="A827" s="11"/>
      <c r="B827" s="12" t="s">
        <v>154</v>
      </c>
      <c r="C827" s="12" t="s">
        <v>1595</v>
      </c>
      <c r="D827" s="12" t="s">
        <v>1872</v>
      </c>
      <c r="E827" s="14">
        <v>150</v>
      </c>
      <c r="F827" s="23">
        <v>0.71</v>
      </c>
      <c r="G827" s="14">
        <v>0</v>
      </c>
      <c r="H827" s="25" t="s">
        <v>1615</v>
      </c>
      <c r="I827" s="12"/>
    </row>
    <row r="828" spans="1:9" x14ac:dyDescent="0.3">
      <c r="A828" s="11"/>
      <c r="B828" s="12" t="s">
        <v>154</v>
      </c>
      <c r="C828" s="12" t="s">
        <v>1596</v>
      </c>
      <c r="D828" s="12" t="s">
        <v>1872</v>
      </c>
      <c r="E828" s="14">
        <v>150</v>
      </c>
      <c r="F828" s="23">
        <v>0.61</v>
      </c>
      <c r="G828" s="14">
        <v>0</v>
      </c>
      <c r="H828" s="25" t="s">
        <v>1615</v>
      </c>
      <c r="I828" s="12"/>
    </row>
    <row r="829" spans="1:9" x14ac:dyDescent="0.3">
      <c r="A829" s="11"/>
      <c r="B829" s="12" t="s">
        <v>154</v>
      </c>
      <c r="C829" s="12" t="s">
        <v>1597</v>
      </c>
      <c r="D829" s="12" t="s">
        <v>1873</v>
      </c>
      <c r="E829" s="14">
        <v>200</v>
      </c>
      <c r="F829" s="23">
        <v>0.47</v>
      </c>
      <c r="G829" s="14">
        <v>18.239999999999998</v>
      </c>
      <c r="H829" s="25" t="s">
        <v>1615</v>
      </c>
      <c r="I829" s="12"/>
    </row>
    <row r="830" spans="1:9" x14ac:dyDescent="0.3">
      <c r="A830" s="11"/>
      <c r="B830" s="12" t="s">
        <v>154</v>
      </c>
      <c r="C830" s="12" t="s">
        <v>1598</v>
      </c>
      <c r="D830" s="12" t="s">
        <v>1872</v>
      </c>
      <c r="E830" s="14">
        <v>150</v>
      </c>
      <c r="F830" s="23">
        <v>0.67</v>
      </c>
      <c r="G830" s="14">
        <v>0</v>
      </c>
      <c r="H830" s="25" t="s">
        <v>1615</v>
      </c>
      <c r="I830" s="12"/>
    </row>
    <row r="831" spans="1:9" x14ac:dyDescent="0.3">
      <c r="A831" s="11"/>
      <c r="B831" s="12" t="s">
        <v>154</v>
      </c>
      <c r="C831" s="12" t="s">
        <v>1599</v>
      </c>
      <c r="D831" s="12" t="s">
        <v>1873</v>
      </c>
      <c r="E831" s="14">
        <v>150</v>
      </c>
      <c r="F831" s="23">
        <v>0.65</v>
      </c>
      <c r="G831" s="14">
        <v>0</v>
      </c>
      <c r="H831" s="25" t="s">
        <v>1615</v>
      </c>
      <c r="I831" s="12"/>
    </row>
    <row r="832" spans="1:9" x14ac:dyDescent="0.3">
      <c r="A832" s="11"/>
      <c r="B832" s="12" t="s">
        <v>154</v>
      </c>
      <c r="C832" s="12" t="s">
        <v>1600</v>
      </c>
      <c r="D832" s="12" t="s">
        <v>1873</v>
      </c>
      <c r="E832" s="14">
        <v>150</v>
      </c>
      <c r="F832" s="23">
        <v>0.59</v>
      </c>
      <c r="G832" s="14">
        <v>0</v>
      </c>
      <c r="H832" s="25" t="s">
        <v>1615</v>
      </c>
      <c r="I832" s="12"/>
    </row>
    <row r="833" spans="1:9" x14ac:dyDescent="0.3">
      <c r="A833" s="11"/>
      <c r="B833" s="12" t="s">
        <v>154</v>
      </c>
      <c r="C833" s="12" t="s">
        <v>1601</v>
      </c>
      <c r="D833" s="12" t="s">
        <v>1751</v>
      </c>
      <c r="E833" s="14">
        <v>225</v>
      </c>
      <c r="F833" s="23">
        <v>0.61</v>
      </c>
      <c r="G833" s="14">
        <v>0</v>
      </c>
      <c r="H833" s="25" t="s">
        <v>1615</v>
      </c>
      <c r="I833" s="12"/>
    </row>
    <row r="834" spans="1:9" x14ac:dyDescent="0.3">
      <c r="A834" s="11"/>
      <c r="B834" s="12" t="s">
        <v>154</v>
      </c>
      <c r="C834" s="12" t="s">
        <v>1602</v>
      </c>
      <c r="D834" s="12" t="s">
        <v>1873</v>
      </c>
      <c r="E834" s="14">
        <v>225</v>
      </c>
      <c r="F834" s="23">
        <v>0.6</v>
      </c>
      <c r="G834" s="14">
        <v>0</v>
      </c>
      <c r="H834" s="25" t="s">
        <v>1615</v>
      </c>
      <c r="I834" s="12"/>
    </row>
    <row r="835" spans="1:9" x14ac:dyDescent="0.3">
      <c r="A835" s="11"/>
      <c r="B835" s="12" t="s">
        <v>154</v>
      </c>
      <c r="C835" s="12" t="s">
        <v>1603</v>
      </c>
      <c r="D835" s="12" t="s">
        <v>1874</v>
      </c>
      <c r="E835" s="14">
        <v>320</v>
      </c>
      <c r="F835" s="23">
        <v>0.73</v>
      </c>
      <c r="G835" s="14">
        <v>0</v>
      </c>
      <c r="H835" s="25" t="s">
        <v>1615</v>
      </c>
      <c r="I835" s="12"/>
    </row>
    <row r="836" spans="1:9" x14ac:dyDescent="0.3">
      <c r="A836" s="11"/>
      <c r="B836" s="12" t="s">
        <v>156</v>
      </c>
      <c r="C836" s="12" t="s">
        <v>1604</v>
      </c>
      <c r="D836" s="12" t="s">
        <v>1762</v>
      </c>
      <c r="E836" s="14">
        <v>250</v>
      </c>
      <c r="F836" s="23">
        <v>0.48</v>
      </c>
      <c r="G836" s="14">
        <v>0</v>
      </c>
      <c r="H836" s="25" t="s">
        <v>1615</v>
      </c>
      <c r="I836" s="12"/>
    </row>
    <row r="837" spans="1:9" x14ac:dyDescent="0.3">
      <c r="A837" s="11"/>
      <c r="B837" s="12" t="s">
        <v>156</v>
      </c>
      <c r="C837" s="12" t="s">
        <v>1605</v>
      </c>
      <c r="D837" s="12" t="s">
        <v>1695</v>
      </c>
      <c r="E837" s="14">
        <v>320</v>
      </c>
      <c r="F837" s="23">
        <v>0.67</v>
      </c>
      <c r="G837" s="14">
        <v>0</v>
      </c>
      <c r="H837" s="25" t="s">
        <v>1615</v>
      </c>
      <c r="I837" s="12"/>
    </row>
    <row r="838" spans="1:9" x14ac:dyDescent="0.3">
      <c r="A838" s="11"/>
      <c r="B838" s="12" t="s">
        <v>156</v>
      </c>
      <c r="C838" s="12" t="s">
        <v>1606</v>
      </c>
      <c r="D838" s="12" t="s">
        <v>1695</v>
      </c>
      <c r="E838" s="14">
        <v>225</v>
      </c>
      <c r="F838" s="23">
        <v>0.65</v>
      </c>
      <c r="G838" s="14">
        <v>64.37</v>
      </c>
      <c r="H838" s="25" t="s">
        <v>1615</v>
      </c>
      <c r="I838" s="12"/>
    </row>
    <row r="839" spans="1:9" x14ac:dyDescent="0.3">
      <c r="A839" s="11"/>
      <c r="B839" s="12" t="s">
        <v>156</v>
      </c>
      <c r="C839" s="12" t="s">
        <v>1607</v>
      </c>
      <c r="D839" s="12" t="s">
        <v>1695</v>
      </c>
      <c r="E839" s="14">
        <v>250</v>
      </c>
      <c r="F839" s="23">
        <v>0.51</v>
      </c>
      <c r="G839" s="14">
        <v>31.6</v>
      </c>
      <c r="H839" s="25" t="s">
        <v>1615</v>
      </c>
      <c r="I839" s="12"/>
    </row>
    <row r="840" spans="1:9" x14ac:dyDescent="0.3">
      <c r="A840" s="11"/>
      <c r="B840" s="12" t="s">
        <v>156</v>
      </c>
      <c r="C840" s="12" t="s">
        <v>1608</v>
      </c>
      <c r="D840" s="12" t="s">
        <v>1695</v>
      </c>
      <c r="E840" s="14">
        <v>250</v>
      </c>
      <c r="F840" s="23">
        <v>0.66</v>
      </c>
      <c r="G840" s="14">
        <v>0</v>
      </c>
      <c r="H840" s="25" t="s">
        <v>1615</v>
      </c>
      <c r="I840" s="12"/>
    </row>
    <row r="841" spans="1:9" x14ac:dyDescent="0.3">
      <c r="A841" s="11"/>
      <c r="B841" s="12" t="s">
        <v>156</v>
      </c>
      <c r="C841" s="12" t="s">
        <v>1609</v>
      </c>
      <c r="D841" s="12" t="s">
        <v>1694</v>
      </c>
      <c r="E841" s="14">
        <v>400</v>
      </c>
      <c r="F841" s="23">
        <v>0.57999999999999996</v>
      </c>
      <c r="G841" s="14">
        <v>0</v>
      </c>
      <c r="H841" s="25" t="s">
        <v>1615</v>
      </c>
      <c r="I841" s="12"/>
    </row>
    <row r="842" spans="1:9" x14ac:dyDescent="0.3">
      <c r="A842" s="11"/>
      <c r="B842" s="12" t="s">
        <v>156</v>
      </c>
      <c r="C842" s="12" t="s">
        <v>1610</v>
      </c>
      <c r="D842" s="12" t="s">
        <v>1695</v>
      </c>
      <c r="E842" s="14">
        <v>250</v>
      </c>
      <c r="F842" s="23">
        <v>0.73</v>
      </c>
      <c r="G842" s="14">
        <v>0</v>
      </c>
      <c r="H842" s="25" t="s">
        <v>1615</v>
      </c>
      <c r="I842" s="12"/>
    </row>
    <row r="843" spans="1:9" x14ac:dyDescent="0.3">
      <c r="A843" s="11"/>
      <c r="B843" s="12" t="s">
        <v>156</v>
      </c>
      <c r="C843" s="12" t="s">
        <v>1611</v>
      </c>
      <c r="D843" s="12" t="s">
        <v>1875</v>
      </c>
      <c r="E843" s="14">
        <v>250</v>
      </c>
      <c r="F843" s="23">
        <v>0.62</v>
      </c>
      <c r="G843" s="14">
        <v>0</v>
      </c>
      <c r="H843" s="25" t="s">
        <v>1615</v>
      </c>
      <c r="I843" s="12"/>
    </row>
    <row r="844" spans="1:9" x14ac:dyDescent="0.3">
      <c r="A844" s="11"/>
      <c r="B844" s="12" t="s">
        <v>156</v>
      </c>
      <c r="C844" s="12" t="s">
        <v>1612</v>
      </c>
      <c r="D844" s="12" t="s">
        <v>1762</v>
      </c>
      <c r="E844" s="14">
        <v>225</v>
      </c>
      <c r="F844" s="23">
        <v>0.65</v>
      </c>
      <c r="G844" s="14">
        <v>49.5</v>
      </c>
      <c r="H844" s="25" t="s">
        <v>1615</v>
      </c>
      <c r="I844" s="12"/>
    </row>
    <row r="845" spans="1:9" x14ac:dyDescent="0.3">
      <c r="A845" s="11"/>
      <c r="B845" s="12" t="s">
        <v>156</v>
      </c>
      <c r="C845" s="12" t="s">
        <v>1613</v>
      </c>
      <c r="D845" s="12" t="s">
        <v>1762</v>
      </c>
      <c r="E845" s="14">
        <v>320</v>
      </c>
      <c r="F845" s="23">
        <v>0.5</v>
      </c>
      <c r="G845" s="14">
        <v>40.5</v>
      </c>
      <c r="H845" s="25" t="s">
        <v>1615</v>
      </c>
      <c r="I845" s="12"/>
    </row>
    <row r="846" spans="1:9" x14ac:dyDescent="0.3">
      <c r="A846" s="11"/>
      <c r="B846" s="12" t="s">
        <v>156</v>
      </c>
      <c r="C846" s="12" t="s">
        <v>1614</v>
      </c>
      <c r="D846" s="12" t="s">
        <v>1640</v>
      </c>
      <c r="E846" s="14">
        <v>160</v>
      </c>
      <c r="F846" s="23">
        <v>0.63</v>
      </c>
      <c r="G846" s="14">
        <v>0</v>
      </c>
      <c r="H846" s="25" t="s">
        <v>1615</v>
      </c>
      <c r="I846" s="12"/>
    </row>
  </sheetData>
  <mergeCells count="2">
    <mergeCell ref="A1:I1"/>
    <mergeCell ref="A2:I2"/>
  </mergeCells>
  <dataValidations disablePrompts="1" count="1">
    <dataValidation type="list" allowBlank="1" sqref="H8:H846" xr:uid="{00000000-0002-0000-0400-000000000000}">
      <formula1>"Quá tải,Quá áp do phát ngược,Quá tải và quá áp,Nguy cơ quá tải"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2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34" sqref="G34"/>
    </sheetView>
  </sheetViews>
  <sheetFormatPr defaultColWidth="8.6640625" defaultRowHeight="14.4" x14ac:dyDescent="0.3"/>
  <cols>
    <col min="1" max="1" width="5.44140625" customWidth="1"/>
    <col min="2" max="2" width="16" customWidth="1"/>
    <col min="3" max="3" width="51.33203125" bestFit="1" customWidth="1"/>
    <col min="4" max="4" width="22" customWidth="1"/>
    <col min="5" max="5" width="9" customWidth="1"/>
    <col min="6" max="6" width="13" customWidth="1"/>
    <col min="7" max="7" width="11" customWidth="1"/>
    <col min="8" max="8" width="21.88671875" customWidth="1"/>
    <col min="9" max="9" width="14.109375" customWidth="1"/>
    <col min="10" max="10" width="15" customWidth="1"/>
    <col min="11" max="11" width="12" customWidth="1"/>
    <col min="12" max="13" width="17" customWidth="1"/>
    <col min="14" max="14" width="14" customWidth="1"/>
    <col min="15" max="15" width="11" customWidth="1"/>
    <col min="16" max="16" width="20" customWidth="1"/>
  </cols>
  <sheetData>
    <row r="1" spans="1:16" ht="16.8" x14ac:dyDescent="0.3">
      <c r="A1" s="27" t="s">
        <v>85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3">
      <c r="A2" s="28" t="s">
        <v>86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3">
      <c r="A3" s="4" t="s">
        <v>14</v>
      </c>
      <c r="C3" s="5" t="s">
        <v>759</v>
      </c>
    </row>
    <row r="5" spans="1:16" ht="52.8" x14ac:dyDescent="0.3">
      <c r="A5" s="6" t="s">
        <v>15</v>
      </c>
      <c r="B5" s="6" t="s">
        <v>87</v>
      </c>
      <c r="C5" s="6" t="s">
        <v>88</v>
      </c>
      <c r="D5" s="6" t="s">
        <v>89</v>
      </c>
      <c r="E5" s="6" t="s">
        <v>90</v>
      </c>
      <c r="F5" s="6" t="s">
        <v>91</v>
      </c>
      <c r="G5" s="6" t="s">
        <v>92</v>
      </c>
      <c r="H5" s="6" t="s">
        <v>93</v>
      </c>
      <c r="I5" s="26" t="s">
        <v>94</v>
      </c>
      <c r="J5" s="6" t="s">
        <v>58</v>
      </c>
      <c r="K5" s="6" t="s">
        <v>95</v>
      </c>
      <c r="L5" s="6" t="s">
        <v>96</v>
      </c>
      <c r="M5" s="6" t="s">
        <v>97</v>
      </c>
      <c r="N5" s="6" t="s">
        <v>98</v>
      </c>
      <c r="O5" s="6" t="s">
        <v>99</v>
      </c>
      <c r="P5" s="6" t="s">
        <v>30</v>
      </c>
    </row>
    <row r="6" spans="1:16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40</v>
      </c>
      <c r="K6" s="7" t="s">
        <v>41</v>
      </c>
      <c r="L6" s="7" t="s">
        <v>42</v>
      </c>
      <c r="M6" s="7" t="s">
        <v>43</v>
      </c>
      <c r="N6" s="7" t="s">
        <v>44</v>
      </c>
      <c r="O6" s="7" t="s">
        <v>45</v>
      </c>
      <c r="P6" s="7" t="s">
        <v>46</v>
      </c>
    </row>
    <row r="7" spans="1:16" x14ac:dyDescent="0.3">
      <c r="A7" s="11">
        <v>1</v>
      </c>
      <c r="B7" s="12" t="s">
        <v>161</v>
      </c>
      <c r="C7" s="12" t="s">
        <v>566</v>
      </c>
      <c r="D7" s="12" t="s">
        <v>156</v>
      </c>
      <c r="E7" s="12">
        <v>2</v>
      </c>
      <c r="F7" s="12" t="s">
        <v>101</v>
      </c>
      <c r="G7" s="12" t="s">
        <v>757</v>
      </c>
      <c r="H7" s="12" t="s">
        <v>774</v>
      </c>
      <c r="I7" s="14">
        <v>18</v>
      </c>
      <c r="J7" s="13">
        <f>IF(B7="","",SUMIF(Bieu04A_12thang!$B:$B,B7,Bieu04A_12thang!$O:$O))</f>
        <v>18405</v>
      </c>
      <c r="K7" s="23"/>
      <c r="L7" s="13">
        <f>IF(B7="","",SUMIF(Bieu04A_12thang!$B:$B,B7,Bieu04A_12thang!$AB:$AB))</f>
        <v>40969530</v>
      </c>
      <c r="M7" s="12"/>
      <c r="N7" s="12"/>
      <c r="O7" s="12"/>
      <c r="P7" s="12"/>
    </row>
    <row r="8" spans="1:16" x14ac:dyDescent="0.3">
      <c r="A8" s="11">
        <v>2</v>
      </c>
      <c r="B8" s="12" t="s">
        <v>162</v>
      </c>
      <c r="C8" s="12" t="s">
        <v>567</v>
      </c>
      <c r="D8" s="12" t="s">
        <v>156</v>
      </c>
      <c r="E8" s="12">
        <v>2</v>
      </c>
      <c r="F8" s="12" t="s">
        <v>101</v>
      </c>
      <c r="G8" s="12" t="s">
        <v>758</v>
      </c>
      <c r="H8" s="12" t="s">
        <v>774</v>
      </c>
      <c r="I8" s="14">
        <v>127</v>
      </c>
      <c r="J8" s="13">
        <f>IF(B8="","",SUMIF(Bieu04A_12thang!$B:$B,B8,Bieu04A_12thang!$O:$O))</f>
        <v>29556</v>
      </c>
      <c r="K8" s="23"/>
      <c r="L8" s="13">
        <f>IF(B8="","",SUMIF(Bieu04A_12thang!$B:$B,B8,Bieu04A_12thang!$AB:$AB))</f>
        <v>65791656</v>
      </c>
      <c r="M8" s="12"/>
      <c r="N8" s="12"/>
      <c r="O8" s="12"/>
      <c r="P8" s="12"/>
    </row>
    <row r="9" spans="1:16" x14ac:dyDescent="0.3">
      <c r="A9" s="11">
        <v>3</v>
      </c>
      <c r="B9" s="12" t="s">
        <v>163</v>
      </c>
      <c r="C9" s="12" t="s">
        <v>568</v>
      </c>
      <c r="D9" s="12" t="s">
        <v>156</v>
      </c>
      <c r="E9" s="12">
        <v>2</v>
      </c>
      <c r="F9" s="12" t="s">
        <v>101</v>
      </c>
      <c r="G9" s="12" t="s">
        <v>758</v>
      </c>
      <c r="H9" s="12" t="s">
        <v>774</v>
      </c>
      <c r="I9" s="14">
        <v>127</v>
      </c>
      <c r="J9" s="13">
        <f>IF(B9="","",SUMIF(Bieu04A_12thang!$B:$B,B9,Bieu04A_12thang!$O:$O))</f>
        <v>81437</v>
      </c>
      <c r="K9" s="23"/>
      <c r="L9" s="13">
        <f>IF(B9="","",SUMIF(Bieu04A_12thang!$B:$B,B9,Bieu04A_12thang!$AB:$AB))</f>
        <v>181278762</v>
      </c>
      <c r="M9" s="12"/>
      <c r="N9" s="12"/>
      <c r="O9" s="12"/>
      <c r="P9" s="12"/>
    </row>
    <row r="10" spans="1:16" x14ac:dyDescent="0.3">
      <c r="A10" s="11">
        <v>4</v>
      </c>
      <c r="B10" s="12" t="s">
        <v>164</v>
      </c>
      <c r="C10" s="12" t="s">
        <v>568</v>
      </c>
      <c r="D10" s="12" t="s">
        <v>156</v>
      </c>
      <c r="E10" s="12">
        <v>2</v>
      </c>
      <c r="F10" s="12" t="s">
        <v>101</v>
      </c>
      <c r="G10" s="12" t="s">
        <v>758</v>
      </c>
      <c r="H10" s="12" t="s">
        <v>774</v>
      </c>
      <c r="I10" s="14">
        <v>127</v>
      </c>
      <c r="J10" s="13">
        <f>IF(B10="","",SUMIF(Bieu04A_12thang!$B:$B,B10,Bieu04A_12thang!$O:$O))</f>
        <v>44392</v>
      </c>
      <c r="K10" s="23"/>
      <c r="L10" s="13">
        <f>IF(B10="","",SUMIF(Bieu04A_12thang!$B:$B,B10,Bieu04A_12thang!$AB:$AB))</f>
        <v>98816592</v>
      </c>
      <c r="M10" s="12"/>
      <c r="N10" s="12"/>
      <c r="O10" s="12"/>
      <c r="P10" s="12"/>
    </row>
    <row r="11" spans="1:16" x14ac:dyDescent="0.3">
      <c r="A11" s="11">
        <v>5</v>
      </c>
      <c r="B11" s="12" t="s">
        <v>165</v>
      </c>
      <c r="C11" s="12" t="s">
        <v>568</v>
      </c>
      <c r="D11" s="12" t="s">
        <v>156</v>
      </c>
      <c r="E11" s="12">
        <v>2</v>
      </c>
      <c r="F11" s="12" t="s">
        <v>101</v>
      </c>
      <c r="G11" s="12" t="s">
        <v>758</v>
      </c>
      <c r="H11" s="12" t="s">
        <v>774</v>
      </c>
      <c r="I11" s="14">
        <v>127</v>
      </c>
      <c r="J11" s="13">
        <f>IF(B11="","",SUMIF(Bieu04A_12thang!$B:$B,B11,Bieu04A_12thang!$O:$O))</f>
        <v>29085</v>
      </c>
      <c r="K11" s="23"/>
      <c r="L11" s="13">
        <f>IF(B11="","",SUMIF(Bieu04A_12thang!$B:$B,B11,Bieu04A_12thang!$AB:$AB))</f>
        <v>64743210</v>
      </c>
      <c r="M11" s="12"/>
      <c r="N11" s="12"/>
      <c r="O11" s="12"/>
      <c r="P11" s="12"/>
    </row>
    <row r="12" spans="1:16" x14ac:dyDescent="0.3">
      <c r="A12" s="11">
        <v>6</v>
      </c>
      <c r="B12" s="12" t="s">
        <v>166</v>
      </c>
      <c r="C12" s="12" t="s">
        <v>568</v>
      </c>
      <c r="D12" s="12" t="s">
        <v>156</v>
      </c>
      <c r="E12" s="12">
        <v>2</v>
      </c>
      <c r="F12" s="12" t="s">
        <v>101</v>
      </c>
      <c r="G12" s="12" t="s">
        <v>757</v>
      </c>
      <c r="H12" s="12" t="s">
        <v>774</v>
      </c>
      <c r="I12" s="14">
        <v>18</v>
      </c>
      <c r="J12" s="13">
        <f>IF(B12="","",SUMIF(Bieu04A_12thang!$B:$B,B12,Bieu04A_12thang!$O:$O))</f>
        <v>11788</v>
      </c>
      <c r="K12" s="23"/>
      <c r="L12" s="13">
        <f>IF(B12="","",SUMIF(Bieu04A_12thang!$B:$B,B12,Bieu04A_12thang!$AB:$AB))</f>
        <v>26240088</v>
      </c>
      <c r="M12" s="12"/>
      <c r="N12" s="12"/>
      <c r="O12" s="12"/>
      <c r="P12" s="12"/>
    </row>
    <row r="13" spans="1:16" x14ac:dyDescent="0.3">
      <c r="A13" s="11">
        <v>7</v>
      </c>
      <c r="B13" s="12" t="s">
        <v>167</v>
      </c>
      <c r="C13" s="12" t="s">
        <v>569</v>
      </c>
      <c r="D13" s="12" t="s">
        <v>156</v>
      </c>
      <c r="E13" s="12">
        <v>2</v>
      </c>
      <c r="F13" s="12" t="s">
        <v>101</v>
      </c>
      <c r="G13" s="12" t="s">
        <v>757</v>
      </c>
      <c r="H13" s="12" t="s">
        <v>774</v>
      </c>
      <c r="I13" s="14">
        <v>10</v>
      </c>
      <c r="J13" s="13">
        <f>IF(B13="","",SUMIF(Bieu04A_12thang!$B:$B,B13,Bieu04A_12thang!$O:$O))</f>
        <v>7061</v>
      </c>
      <c r="K13" s="23"/>
      <c r="L13" s="13">
        <f>IF(B13="","",SUMIF(Bieu04A_12thang!$B:$B,B13,Bieu04A_12thang!$AB:$AB))</f>
        <v>15717786</v>
      </c>
      <c r="M13" s="12"/>
      <c r="N13" s="12"/>
      <c r="O13" s="12"/>
      <c r="P13" s="12"/>
    </row>
    <row r="14" spans="1:16" x14ac:dyDescent="0.3">
      <c r="A14" s="11">
        <v>8</v>
      </c>
      <c r="B14" s="12" t="s">
        <v>168</v>
      </c>
      <c r="C14" s="12" t="s">
        <v>570</v>
      </c>
      <c r="D14" s="12" t="s">
        <v>156</v>
      </c>
      <c r="E14" s="12">
        <v>2</v>
      </c>
      <c r="F14" s="12" t="s">
        <v>101</v>
      </c>
      <c r="G14" s="12" t="s">
        <v>757</v>
      </c>
      <c r="H14" s="12" t="s">
        <v>774</v>
      </c>
      <c r="I14" s="14">
        <v>10</v>
      </c>
      <c r="J14" s="13">
        <f>IF(B14="","",SUMIF(Bieu04A_12thang!$B:$B,B14,Bieu04A_12thang!$O:$O))</f>
        <v>10249</v>
      </c>
      <c r="K14" s="23"/>
      <c r="L14" s="13">
        <f>IF(B14="","",SUMIF(Bieu04A_12thang!$B:$B,B14,Bieu04A_12thang!$AB:$AB))</f>
        <v>22814274</v>
      </c>
      <c r="M14" s="12"/>
      <c r="N14" s="12"/>
      <c r="O14" s="12"/>
      <c r="P14" s="12"/>
    </row>
    <row r="15" spans="1:16" x14ac:dyDescent="0.3">
      <c r="A15" s="11">
        <v>9</v>
      </c>
      <c r="B15" s="12" t="s">
        <v>169</v>
      </c>
      <c r="C15" s="12" t="s">
        <v>570</v>
      </c>
      <c r="D15" s="12" t="s">
        <v>156</v>
      </c>
      <c r="E15" s="12">
        <v>2</v>
      </c>
      <c r="F15" s="12" t="s">
        <v>101</v>
      </c>
      <c r="G15" s="12" t="s">
        <v>758</v>
      </c>
      <c r="H15" s="12" t="s">
        <v>774</v>
      </c>
      <c r="I15" s="14">
        <v>127</v>
      </c>
      <c r="J15" s="13">
        <f>IF(B15="","",SUMIF(Bieu04A_12thang!$B:$B,B15,Bieu04A_12thang!$O:$O))</f>
        <v>56975</v>
      </c>
      <c r="K15" s="23"/>
      <c r="L15" s="13">
        <f>IF(B15="","",SUMIF(Bieu04A_12thang!$B:$B,B15,Bieu04A_12thang!$AB:$AB))</f>
        <v>126826350</v>
      </c>
      <c r="M15" s="12"/>
      <c r="N15" s="12"/>
      <c r="O15" s="12"/>
      <c r="P15" s="12"/>
    </row>
    <row r="16" spans="1:16" x14ac:dyDescent="0.3">
      <c r="A16" s="11">
        <v>10</v>
      </c>
      <c r="B16" s="12" t="s">
        <v>170</v>
      </c>
      <c r="C16" s="12" t="s">
        <v>570</v>
      </c>
      <c r="D16" s="12" t="s">
        <v>156</v>
      </c>
      <c r="E16" s="12">
        <v>2</v>
      </c>
      <c r="F16" s="12" t="s">
        <v>101</v>
      </c>
      <c r="G16" s="12" t="s">
        <v>757</v>
      </c>
      <c r="H16" s="12" t="s">
        <v>774</v>
      </c>
      <c r="I16" s="14">
        <v>10</v>
      </c>
      <c r="J16" s="13">
        <f>IF(B16="","",SUMIF(Bieu04A_12thang!$B:$B,B16,Bieu04A_12thang!$O:$O))</f>
        <v>705</v>
      </c>
      <c r="K16" s="23"/>
      <c r="L16" s="13">
        <f>IF(B16="","",SUMIF(Bieu04A_12thang!$B:$B,B16,Bieu04A_12thang!$AB:$AB))</f>
        <v>1569330</v>
      </c>
      <c r="M16" s="12"/>
      <c r="N16" s="12"/>
      <c r="O16" s="12"/>
      <c r="P16" s="12"/>
    </row>
    <row r="17" spans="1:16" x14ac:dyDescent="0.3">
      <c r="A17" s="11">
        <v>11</v>
      </c>
      <c r="B17" s="12" t="s">
        <v>173</v>
      </c>
      <c r="C17" s="12" t="s">
        <v>570</v>
      </c>
      <c r="D17" s="12" t="s">
        <v>156</v>
      </c>
      <c r="E17" s="12">
        <v>2</v>
      </c>
      <c r="F17" s="12" t="s">
        <v>101</v>
      </c>
      <c r="G17" s="12" t="s">
        <v>757</v>
      </c>
      <c r="H17" s="12" t="s">
        <v>774</v>
      </c>
      <c r="I17" s="14">
        <v>10</v>
      </c>
      <c r="J17" s="13">
        <f>IF(B17="","",SUMIF(Bieu04A_12thang!$B:$B,B17,Bieu04A_12thang!$O:$O))</f>
        <v>630</v>
      </c>
      <c r="K17" s="23"/>
      <c r="L17" s="13">
        <f>IF(B17="","",SUMIF(Bieu04A_12thang!$B:$B,B17,Bieu04A_12thang!$AB:$AB))</f>
        <v>1402380</v>
      </c>
      <c r="M17" s="12"/>
      <c r="N17" s="12"/>
      <c r="O17" s="12"/>
      <c r="P17" s="12"/>
    </row>
    <row r="18" spans="1:16" x14ac:dyDescent="0.3">
      <c r="A18" s="11">
        <v>12</v>
      </c>
      <c r="B18" s="12" t="s">
        <v>174</v>
      </c>
      <c r="C18" s="12" t="s">
        <v>570</v>
      </c>
      <c r="D18" s="12" t="s">
        <v>156</v>
      </c>
      <c r="E18" s="12">
        <v>2</v>
      </c>
      <c r="F18" s="12" t="s">
        <v>101</v>
      </c>
      <c r="G18" s="12" t="s">
        <v>757</v>
      </c>
      <c r="H18" s="12" t="s">
        <v>774</v>
      </c>
      <c r="I18" s="14">
        <v>10</v>
      </c>
      <c r="J18" s="13">
        <f>IF(B18="","",SUMIF(Bieu04A_12thang!$B:$B,B18,Bieu04A_12thang!$O:$O))</f>
        <v>753</v>
      </c>
      <c r="K18" s="23"/>
      <c r="L18" s="13">
        <f>IF(B18="","",SUMIF(Bieu04A_12thang!$B:$B,B18,Bieu04A_12thang!$AB:$AB))</f>
        <v>1676178</v>
      </c>
      <c r="M18" s="12"/>
      <c r="N18" s="12"/>
      <c r="O18" s="12"/>
      <c r="P18" s="12"/>
    </row>
    <row r="19" spans="1:16" x14ac:dyDescent="0.3">
      <c r="A19" s="11">
        <v>13</v>
      </c>
      <c r="B19" s="12" t="s">
        <v>178</v>
      </c>
      <c r="C19" s="12" t="s">
        <v>570</v>
      </c>
      <c r="D19" s="12" t="s">
        <v>156</v>
      </c>
      <c r="E19" s="12">
        <v>2</v>
      </c>
      <c r="F19" s="12" t="s">
        <v>101</v>
      </c>
      <c r="G19" s="12" t="s">
        <v>757</v>
      </c>
      <c r="H19" s="12" t="s">
        <v>774</v>
      </c>
      <c r="I19" s="14">
        <v>10</v>
      </c>
      <c r="J19" s="13">
        <f>IF(B19="","",SUMIF(Bieu04A_12thang!$B:$B,B19,Bieu04A_12thang!$O:$O))</f>
        <v>722</v>
      </c>
      <c r="K19" s="23"/>
      <c r="L19" s="13">
        <f>IF(B19="","",SUMIF(Bieu04A_12thang!$B:$B,B19,Bieu04A_12thang!$AB:$AB))</f>
        <v>1607172</v>
      </c>
      <c r="M19" s="12"/>
      <c r="N19" s="12"/>
      <c r="O19" s="12"/>
      <c r="P19" s="12"/>
    </row>
    <row r="20" spans="1:16" x14ac:dyDescent="0.3">
      <c r="A20" s="11">
        <v>14</v>
      </c>
      <c r="B20" s="12" t="s">
        <v>180</v>
      </c>
      <c r="C20" s="12" t="s">
        <v>570</v>
      </c>
      <c r="D20" s="12" t="s">
        <v>156</v>
      </c>
      <c r="E20" s="12">
        <v>2</v>
      </c>
      <c r="F20" s="12" t="s">
        <v>101</v>
      </c>
      <c r="G20" s="12" t="s">
        <v>757</v>
      </c>
      <c r="H20" s="12" t="s">
        <v>774</v>
      </c>
      <c r="I20" s="14">
        <v>10</v>
      </c>
      <c r="J20" s="13">
        <f>IF(B20="","",SUMIF(Bieu04A_12thang!$B:$B,B20,Bieu04A_12thang!$O:$O))</f>
        <v>630</v>
      </c>
      <c r="K20" s="23"/>
      <c r="L20" s="13">
        <f>IF(B20="","",SUMIF(Bieu04A_12thang!$B:$B,B20,Bieu04A_12thang!$AB:$AB))</f>
        <v>1402380</v>
      </c>
      <c r="M20" s="12"/>
      <c r="N20" s="12"/>
      <c r="O20" s="12"/>
      <c r="P20" s="12"/>
    </row>
    <row r="21" spans="1:16" x14ac:dyDescent="0.3">
      <c r="A21" s="11">
        <v>15</v>
      </c>
      <c r="B21" s="12" t="s">
        <v>181</v>
      </c>
      <c r="C21" s="12" t="s">
        <v>570</v>
      </c>
      <c r="D21" s="12" t="s">
        <v>156</v>
      </c>
      <c r="E21" s="12">
        <v>2</v>
      </c>
      <c r="F21" s="12" t="s">
        <v>101</v>
      </c>
      <c r="G21" s="12" t="s">
        <v>757</v>
      </c>
      <c r="H21" s="12" t="s">
        <v>774</v>
      </c>
      <c r="I21" s="14">
        <v>10</v>
      </c>
      <c r="J21" s="13">
        <f>IF(B21="","",SUMIF(Bieu04A_12thang!$B:$B,B21,Bieu04A_12thang!$O:$O))</f>
        <v>217</v>
      </c>
      <c r="K21" s="23"/>
      <c r="L21" s="13">
        <f>IF(B21="","",SUMIF(Bieu04A_12thang!$B:$B,B21,Bieu04A_12thang!$AB:$AB))</f>
        <v>483042</v>
      </c>
      <c r="M21" s="12"/>
      <c r="N21" s="12"/>
      <c r="O21" s="12"/>
      <c r="P21" s="12"/>
    </row>
    <row r="22" spans="1:16" x14ac:dyDescent="0.3">
      <c r="A22" s="11">
        <v>16</v>
      </c>
      <c r="B22" s="12" t="s">
        <v>186</v>
      </c>
      <c r="C22" s="12" t="s">
        <v>570</v>
      </c>
      <c r="D22" s="12" t="s">
        <v>156</v>
      </c>
      <c r="E22" s="12">
        <v>2</v>
      </c>
      <c r="F22" s="12" t="s">
        <v>101</v>
      </c>
      <c r="G22" s="12" t="s">
        <v>757</v>
      </c>
      <c r="H22" s="12" t="s">
        <v>774</v>
      </c>
      <c r="I22" s="14">
        <v>10</v>
      </c>
      <c r="J22" s="13">
        <f>IF(B22="","",SUMIF(Bieu04A_12thang!$B:$B,B22,Bieu04A_12thang!$O:$O))</f>
        <v>204</v>
      </c>
      <c r="K22" s="23"/>
      <c r="L22" s="13">
        <f>IF(B22="","",SUMIF(Bieu04A_12thang!$B:$B,B22,Bieu04A_12thang!$AB:$AB))</f>
        <v>454104</v>
      </c>
      <c r="M22" s="12"/>
      <c r="N22" s="12"/>
      <c r="O22" s="12"/>
      <c r="P22" s="12"/>
    </row>
    <row r="23" spans="1:16" x14ac:dyDescent="0.3">
      <c r="A23" s="11">
        <v>17</v>
      </c>
      <c r="B23" s="12" t="s">
        <v>192</v>
      </c>
      <c r="C23" s="12" t="s">
        <v>570</v>
      </c>
      <c r="D23" s="12" t="s">
        <v>156</v>
      </c>
      <c r="E23" s="12">
        <v>2</v>
      </c>
      <c r="F23" s="12" t="s">
        <v>101</v>
      </c>
      <c r="G23" s="12" t="s">
        <v>757</v>
      </c>
      <c r="H23" s="12" t="s">
        <v>774</v>
      </c>
      <c r="I23" s="14">
        <v>10</v>
      </c>
      <c r="J23" s="13">
        <f>IF(B23="","",SUMIF(Bieu04A_12thang!$B:$B,B23,Bieu04A_12thang!$O:$O))</f>
        <v>114</v>
      </c>
      <c r="K23" s="23"/>
      <c r="L23" s="13">
        <f>IF(B23="","",SUMIF(Bieu04A_12thang!$B:$B,B23,Bieu04A_12thang!$AB:$AB))</f>
        <v>253764</v>
      </c>
      <c r="M23" s="12"/>
      <c r="N23" s="12"/>
      <c r="O23" s="12"/>
      <c r="P23" s="12"/>
    </row>
    <row r="24" spans="1:16" x14ac:dyDescent="0.3">
      <c r="A24" s="11">
        <v>18</v>
      </c>
      <c r="B24" s="12" t="s">
        <v>193</v>
      </c>
      <c r="C24" s="12" t="s">
        <v>570</v>
      </c>
      <c r="D24" s="12" t="s">
        <v>156</v>
      </c>
      <c r="E24" s="12">
        <v>2</v>
      </c>
      <c r="F24" s="12" t="s">
        <v>101</v>
      </c>
      <c r="G24" s="12" t="s">
        <v>757</v>
      </c>
      <c r="H24" s="12" t="s">
        <v>774</v>
      </c>
      <c r="I24" s="14">
        <v>10</v>
      </c>
      <c r="J24" s="13">
        <f>IF(B24="","",SUMIF(Bieu04A_12thang!$B:$B,B24,Bieu04A_12thang!$O:$O))</f>
        <v>571</v>
      </c>
      <c r="K24" s="23"/>
      <c r="L24" s="13">
        <f>IF(B24="","",SUMIF(Bieu04A_12thang!$B:$B,B24,Bieu04A_12thang!$AB:$AB))</f>
        <v>1271046</v>
      </c>
      <c r="M24" s="12"/>
      <c r="N24" s="12"/>
      <c r="O24" s="12"/>
      <c r="P24" s="12"/>
    </row>
    <row r="25" spans="1:16" x14ac:dyDescent="0.3">
      <c r="A25" s="11">
        <v>19</v>
      </c>
      <c r="B25" s="12" t="s">
        <v>196</v>
      </c>
      <c r="C25" s="12" t="s">
        <v>570</v>
      </c>
      <c r="D25" s="12" t="s">
        <v>156</v>
      </c>
      <c r="E25" s="12">
        <v>2</v>
      </c>
      <c r="F25" s="12" t="s">
        <v>101</v>
      </c>
      <c r="G25" s="12" t="s">
        <v>757</v>
      </c>
      <c r="H25" s="12" t="s">
        <v>774</v>
      </c>
      <c r="I25" s="14">
        <v>10</v>
      </c>
      <c r="J25" s="13">
        <f>IF(B25="","",SUMIF(Bieu04A_12thang!$B:$B,B25,Bieu04A_12thang!$O:$O))</f>
        <v>205</v>
      </c>
      <c r="K25" s="23"/>
      <c r="L25" s="13">
        <f>IF(B25="","",SUMIF(Bieu04A_12thang!$B:$B,B25,Bieu04A_12thang!$AB:$AB))</f>
        <v>456330</v>
      </c>
      <c r="M25" s="12"/>
      <c r="N25" s="12"/>
      <c r="O25" s="12"/>
      <c r="P25" s="12"/>
    </row>
    <row r="26" spans="1:16" x14ac:dyDescent="0.3">
      <c r="A26" s="11">
        <v>20</v>
      </c>
      <c r="B26" s="12" t="s">
        <v>197</v>
      </c>
      <c r="C26" s="12" t="s">
        <v>570</v>
      </c>
      <c r="D26" s="12" t="s">
        <v>156</v>
      </c>
      <c r="E26" s="12">
        <v>2</v>
      </c>
      <c r="F26" s="12" t="s">
        <v>101</v>
      </c>
      <c r="G26" s="12" t="s">
        <v>757</v>
      </c>
      <c r="H26" s="12" t="s">
        <v>774</v>
      </c>
      <c r="I26" s="14">
        <v>10</v>
      </c>
      <c r="J26" s="13">
        <f>IF(B26="","",SUMIF(Bieu04A_12thang!$B:$B,B26,Bieu04A_12thang!$O:$O))</f>
        <v>607</v>
      </c>
      <c r="K26" s="23"/>
      <c r="L26" s="13">
        <f>IF(B26="","",SUMIF(Bieu04A_12thang!$B:$B,B26,Bieu04A_12thang!$AB:$AB))</f>
        <v>1351182</v>
      </c>
      <c r="M26" s="12"/>
      <c r="N26" s="12"/>
      <c r="O26" s="12"/>
      <c r="P26" s="12"/>
    </row>
    <row r="27" spans="1:16" x14ac:dyDescent="0.3">
      <c r="A27" s="11">
        <v>21</v>
      </c>
      <c r="B27" s="12" t="s">
        <v>199</v>
      </c>
      <c r="C27" s="12" t="s">
        <v>570</v>
      </c>
      <c r="D27" s="12" t="s">
        <v>156</v>
      </c>
      <c r="E27" s="12">
        <v>2</v>
      </c>
      <c r="F27" s="12" t="s">
        <v>101</v>
      </c>
      <c r="G27" s="12" t="s">
        <v>757</v>
      </c>
      <c r="H27" s="12" t="s">
        <v>774</v>
      </c>
      <c r="I27" s="14">
        <v>10</v>
      </c>
      <c r="J27" s="13">
        <f>IF(B27="","",SUMIF(Bieu04A_12thang!$B:$B,B27,Bieu04A_12thang!$O:$O))</f>
        <v>631</v>
      </c>
      <c r="K27" s="23"/>
      <c r="L27" s="13">
        <f>IF(B27="","",SUMIF(Bieu04A_12thang!$B:$B,B27,Bieu04A_12thang!$AB:$AB))</f>
        <v>1404606</v>
      </c>
      <c r="M27" s="12"/>
      <c r="N27" s="12"/>
      <c r="O27" s="12"/>
      <c r="P27" s="12"/>
    </row>
    <row r="28" spans="1:16" x14ac:dyDescent="0.3">
      <c r="A28" s="11">
        <v>22</v>
      </c>
      <c r="B28" s="12" t="s">
        <v>201</v>
      </c>
      <c r="C28" s="12" t="s">
        <v>570</v>
      </c>
      <c r="D28" s="12" t="s">
        <v>156</v>
      </c>
      <c r="E28" s="12">
        <v>2</v>
      </c>
      <c r="F28" s="12" t="s">
        <v>101</v>
      </c>
      <c r="G28" s="12" t="s">
        <v>757</v>
      </c>
      <c r="H28" s="12" t="s">
        <v>774</v>
      </c>
      <c r="I28" s="14">
        <v>10</v>
      </c>
      <c r="J28" s="13">
        <f>IF(B28="","",SUMIF(Bieu04A_12thang!$B:$B,B28,Bieu04A_12thang!$O:$O))</f>
        <v>619</v>
      </c>
      <c r="K28" s="23"/>
      <c r="L28" s="13">
        <f>IF(B28="","",SUMIF(Bieu04A_12thang!$B:$B,B28,Bieu04A_12thang!$AB:$AB))</f>
        <v>1377894</v>
      </c>
      <c r="M28" s="12"/>
      <c r="N28" s="12"/>
      <c r="O28" s="12"/>
      <c r="P28" s="12"/>
    </row>
    <row r="29" spans="1:16" x14ac:dyDescent="0.3">
      <c r="A29" s="11">
        <v>23</v>
      </c>
      <c r="B29" s="12" t="s">
        <v>202</v>
      </c>
      <c r="C29" s="12" t="s">
        <v>570</v>
      </c>
      <c r="D29" s="12" t="s">
        <v>156</v>
      </c>
      <c r="E29" s="12">
        <v>2</v>
      </c>
      <c r="F29" s="12" t="s">
        <v>101</v>
      </c>
      <c r="G29" s="12" t="s">
        <v>757</v>
      </c>
      <c r="H29" s="12" t="s">
        <v>774</v>
      </c>
      <c r="I29" s="14">
        <v>10</v>
      </c>
      <c r="J29" s="13">
        <f>IF(B29="","",SUMIF(Bieu04A_12thang!$B:$B,B29,Bieu04A_12thang!$O:$O))</f>
        <v>177</v>
      </c>
      <c r="K29" s="23"/>
      <c r="L29" s="13">
        <f>IF(B29="","",SUMIF(Bieu04A_12thang!$B:$B,B29,Bieu04A_12thang!$AB:$AB))</f>
        <v>394002</v>
      </c>
      <c r="M29" s="12"/>
      <c r="N29" s="12"/>
      <c r="O29" s="12"/>
      <c r="P29" s="12"/>
    </row>
    <row r="30" spans="1:16" x14ac:dyDescent="0.3">
      <c r="A30" s="11">
        <v>24</v>
      </c>
      <c r="B30" s="12" t="s">
        <v>203</v>
      </c>
      <c r="C30" s="12" t="s">
        <v>570</v>
      </c>
      <c r="D30" s="12" t="s">
        <v>156</v>
      </c>
      <c r="E30" s="12">
        <v>2</v>
      </c>
      <c r="F30" s="12" t="s">
        <v>101</v>
      </c>
      <c r="G30" s="12" t="s">
        <v>757</v>
      </c>
      <c r="H30" s="12" t="s">
        <v>774</v>
      </c>
      <c r="I30" s="14">
        <v>10</v>
      </c>
      <c r="J30" s="13">
        <f>IF(B30="","",SUMIF(Bieu04A_12thang!$B:$B,B30,Bieu04A_12thang!$O:$O))</f>
        <v>648</v>
      </c>
      <c r="K30" s="23"/>
      <c r="L30" s="13">
        <f>IF(B30="","",SUMIF(Bieu04A_12thang!$B:$B,B30,Bieu04A_12thang!$AB:$AB))</f>
        <v>1442448</v>
      </c>
      <c r="M30" s="12"/>
      <c r="N30" s="12"/>
      <c r="O30" s="12"/>
      <c r="P30" s="12"/>
    </row>
    <row r="31" spans="1:16" x14ac:dyDescent="0.3">
      <c r="A31" s="11">
        <v>25</v>
      </c>
      <c r="B31" s="12" t="s">
        <v>204</v>
      </c>
      <c r="C31" s="12" t="s">
        <v>570</v>
      </c>
      <c r="D31" s="12" t="s">
        <v>156</v>
      </c>
      <c r="E31" s="12">
        <v>2</v>
      </c>
      <c r="F31" s="12" t="s">
        <v>101</v>
      </c>
      <c r="G31" s="12" t="s">
        <v>757</v>
      </c>
      <c r="H31" s="12" t="s">
        <v>774</v>
      </c>
      <c r="I31" s="14">
        <v>10</v>
      </c>
      <c r="J31" s="13">
        <f>IF(B31="","",SUMIF(Bieu04A_12thang!$B:$B,B31,Bieu04A_12thang!$O:$O))</f>
        <v>218</v>
      </c>
      <c r="K31" s="23"/>
      <c r="L31" s="13">
        <f>IF(B31="","",SUMIF(Bieu04A_12thang!$B:$B,B31,Bieu04A_12thang!$AB:$AB))</f>
        <v>485268</v>
      </c>
      <c r="M31" s="12"/>
      <c r="N31" s="12"/>
      <c r="O31" s="12"/>
      <c r="P31" s="12"/>
    </row>
    <row r="32" spans="1:16" x14ac:dyDescent="0.3">
      <c r="A32" s="11">
        <v>26</v>
      </c>
      <c r="B32" s="12" t="s">
        <v>205</v>
      </c>
      <c r="C32" s="12" t="s">
        <v>570</v>
      </c>
      <c r="D32" s="12" t="s">
        <v>156</v>
      </c>
      <c r="E32" s="12">
        <v>2</v>
      </c>
      <c r="F32" s="12" t="s">
        <v>101</v>
      </c>
      <c r="G32" s="12" t="s">
        <v>757</v>
      </c>
      <c r="H32" s="12" t="s">
        <v>774</v>
      </c>
      <c r="I32" s="14">
        <v>10</v>
      </c>
      <c r="J32" s="13">
        <f>IF(B32="","",SUMIF(Bieu04A_12thang!$B:$B,B32,Bieu04A_12thang!$O:$O))</f>
        <v>663</v>
      </c>
      <c r="K32" s="23"/>
      <c r="L32" s="13">
        <f>IF(B32="","",SUMIF(Bieu04A_12thang!$B:$B,B32,Bieu04A_12thang!$AB:$AB))</f>
        <v>1475838</v>
      </c>
      <c r="M32" s="12"/>
      <c r="N32" s="12"/>
      <c r="O32" s="12"/>
      <c r="P32" s="12"/>
    </row>
    <row r="33" spans="1:16" x14ac:dyDescent="0.3">
      <c r="A33" s="11">
        <v>27</v>
      </c>
      <c r="B33" s="12" t="s">
        <v>208</v>
      </c>
      <c r="C33" s="12" t="s">
        <v>570</v>
      </c>
      <c r="D33" s="12" t="s">
        <v>156</v>
      </c>
      <c r="E33" s="12">
        <v>2</v>
      </c>
      <c r="F33" s="12" t="s">
        <v>101</v>
      </c>
      <c r="G33" s="12" t="s">
        <v>757</v>
      </c>
      <c r="H33" s="12" t="s">
        <v>774</v>
      </c>
      <c r="I33" s="14">
        <v>10</v>
      </c>
      <c r="J33" s="13">
        <f>IF(B33="","",SUMIF(Bieu04A_12thang!$B:$B,B33,Bieu04A_12thang!$O:$O))</f>
        <v>110</v>
      </c>
      <c r="K33" s="23"/>
      <c r="L33" s="13">
        <f>IF(B33="","",SUMIF(Bieu04A_12thang!$B:$B,B33,Bieu04A_12thang!$AB:$AB))</f>
        <v>244860</v>
      </c>
      <c r="M33" s="12"/>
      <c r="N33" s="12"/>
      <c r="O33" s="12"/>
      <c r="P33" s="12"/>
    </row>
    <row r="34" spans="1:16" x14ac:dyDescent="0.3">
      <c r="A34" s="11">
        <v>28</v>
      </c>
      <c r="B34" s="12" t="s">
        <v>211</v>
      </c>
      <c r="C34" s="12" t="s">
        <v>570</v>
      </c>
      <c r="D34" s="12" t="s">
        <v>156</v>
      </c>
      <c r="E34" s="12">
        <v>2</v>
      </c>
      <c r="F34" s="12" t="s">
        <v>101</v>
      </c>
      <c r="G34" s="12" t="s">
        <v>757</v>
      </c>
      <c r="H34" s="12" t="s">
        <v>774</v>
      </c>
      <c r="I34" s="14">
        <v>10</v>
      </c>
      <c r="J34" s="13">
        <f>IF(B34="","",SUMIF(Bieu04A_12thang!$B:$B,B34,Bieu04A_12thang!$O:$O))</f>
        <v>627</v>
      </c>
      <c r="K34" s="23"/>
      <c r="L34" s="13">
        <f>IF(B34="","",SUMIF(Bieu04A_12thang!$B:$B,B34,Bieu04A_12thang!$AB:$AB))</f>
        <v>1395702</v>
      </c>
      <c r="M34" s="12"/>
      <c r="N34" s="12"/>
      <c r="O34" s="12"/>
      <c r="P34" s="12"/>
    </row>
    <row r="35" spans="1:16" x14ac:dyDescent="0.3">
      <c r="A35" s="11">
        <v>29</v>
      </c>
      <c r="B35" s="12" t="s">
        <v>212</v>
      </c>
      <c r="C35" s="12" t="s">
        <v>570</v>
      </c>
      <c r="D35" s="12" t="s">
        <v>156</v>
      </c>
      <c r="E35" s="12">
        <v>2</v>
      </c>
      <c r="F35" s="12" t="s">
        <v>101</v>
      </c>
      <c r="G35" s="12" t="s">
        <v>757</v>
      </c>
      <c r="H35" s="12" t="s">
        <v>774</v>
      </c>
      <c r="I35" s="14">
        <v>10</v>
      </c>
      <c r="J35" s="13">
        <f>IF(B35="","",SUMIF(Bieu04A_12thang!$B:$B,B35,Bieu04A_12thang!$O:$O))</f>
        <v>124</v>
      </c>
      <c r="K35" s="23"/>
      <c r="L35" s="13">
        <f>IF(B35="","",SUMIF(Bieu04A_12thang!$B:$B,B35,Bieu04A_12thang!$AB:$AB))</f>
        <v>276024</v>
      </c>
      <c r="M35" s="12"/>
      <c r="N35" s="12"/>
      <c r="O35" s="12"/>
      <c r="P35" s="12"/>
    </row>
    <row r="36" spans="1:16" x14ac:dyDescent="0.3">
      <c r="A36" s="11">
        <v>30</v>
      </c>
      <c r="B36" s="12" t="s">
        <v>213</v>
      </c>
      <c r="C36" s="12" t="s">
        <v>570</v>
      </c>
      <c r="D36" s="12" t="s">
        <v>156</v>
      </c>
      <c r="E36" s="12">
        <v>2</v>
      </c>
      <c r="F36" s="12" t="s">
        <v>101</v>
      </c>
      <c r="G36" s="12" t="s">
        <v>757</v>
      </c>
      <c r="H36" s="12" t="s">
        <v>774</v>
      </c>
      <c r="I36" s="14">
        <v>10</v>
      </c>
      <c r="J36" s="13">
        <f>IF(B36="","",SUMIF(Bieu04A_12thang!$B:$B,B36,Bieu04A_12thang!$O:$O))</f>
        <v>209</v>
      </c>
      <c r="K36" s="23"/>
      <c r="L36" s="13">
        <f>IF(B36="","",SUMIF(Bieu04A_12thang!$B:$B,B36,Bieu04A_12thang!$AB:$AB))</f>
        <v>465234</v>
      </c>
      <c r="M36" s="12"/>
      <c r="N36" s="12"/>
      <c r="O36" s="12"/>
      <c r="P36" s="12"/>
    </row>
    <row r="37" spans="1:16" x14ac:dyDescent="0.3">
      <c r="A37" s="11">
        <v>31</v>
      </c>
      <c r="B37" s="12" t="s">
        <v>217</v>
      </c>
      <c r="C37" s="12" t="s">
        <v>570</v>
      </c>
      <c r="D37" s="12" t="s">
        <v>156</v>
      </c>
      <c r="E37" s="12">
        <v>2</v>
      </c>
      <c r="F37" s="12" t="s">
        <v>101</v>
      </c>
      <c r="G37" s="12" t="s">
        <v>757</v>
      </c>
      <c r="H37" s="12" t="s">
        <v>774</v>
      </c>
      <c r="I37" s="14">
        <v>10</v>
      </c>
      <c r="J37" s="13">
        <f>IF(B37="","",SUMIF(Bieu04A_12thang!$B:$B,B37,Bieu04A_12thang!$O:$O))</f>
        <v>108</v>
      </c>
      <c r="K37" s="23"/>
      <c r="L37" s="13">
        <f>IF(B37="","",SUMIF(Bieu04A_12thang!$B:$B,B37,Bieu04A_12thang!$AB:$AB))</f>
        <v>240408</v>
      </c>
      <c r="M37" s="12"/>
      <c r="N37" s="12"/>
      <c r="O37" s="12"/>
      <c r="P37" s="12"/>
    </row>
    <row r="38" spans="1:16" x14ac:dyDescent="0.3">
      <c r="A38" s="11">
        <v>32</v>
      </c>
      <c r="B38" s="12" t="s">
        <v>218</v>
      </c>
      <c r="C38" s="12" t="s">
        <v>570</v>
      </c>
      <c r="D38" s="12" t="s">
        <v>156</v>
      </c>
      <c r="E38" s="12">
        <v>2</v>
      </c>
      <c r="F38" s="12" t="s">
        <v>101</v>
      </c>
      <c r="G38" s="12" t="s">
        <v>757</v>
      </c>
      <c r="H38" s="12" t="s">
        <v>774</v>
      </c>
      <c r="I38" s="14">
        <v>10</v>
      </c>
      <c r="J38" s="13">
        <f>IF(B38="","",SUMIF(Bieu04A_12thang!$B:$B,B38,Bieu04A_12thang!$O:$O))</f>
        <v>633</v>
      </c>
      <c r="K38" s="23"/>
      <c r="L38" s="13">
        <f>IF(B38="","",SUMIF(Bieu04A_12thang!$B:$B,B38,Bieu04A_12thang!$AB:$AB))</f>
        <v>1409058</v>
      </c>
      <c r="M38" s="12"/>
      <c r="N38" s="12"/>
      <c r="O38" s="12"/>
      <c r="P38" s="12"/>
    </row>
    <row r="39" spans="1:16" x14ac:dyDescent="0.3">
      <c r="A39" s="11">
        <v>33</v>
      </c>
      <c r="B39" s="12" t="s">
        <v>221</v>
      </c>
      <c r="C39" s="12" t="s">
        <v>570</v>
      </c>
      <c r="D39" s="12" t="s">
        <v>156</v>
      </c>
      <c r="E39" s="12">
        <v>2</v>
      </c>
      <c r="F39" s="12" t="s">
        <v>101</v>
      </c>
      <c r="G39" s="12" t="s">
        <v>757</v>
      </c>
      <c r="H39" s="12" t="s">
        <v>774</v>
      </c>
      <c r="I39" s="14">
        <v>10</v>
      </c>
      <c r="J39" s="13">
        <f>IF(B39="","",SUMIF(Bieu04A_12thang!$B:$B,B39,Bieu04A_12thang!$O:$O))</f>
        <v>90</v>
      </c>
      <c r="K39" s="23"/>
      <c r="L39" s="13">
        <f>IF(B39="","",SUMIF(Bieu04A_12thang!$B:$B,B39,Bieu04A_12thang!$AB:$AB))</f>
        <v>200340</v>
      </c>
      <c r="M39" s="12"/>
      <c r="N39" s="12"/>
      <c r="O39" s="12"/>
      <c r="P39" s="12"/>
    </row>
    <row r="40" spans="1:16" x14ac:dyDescent="0.3">
      <c r="A40" s="11">
        <v>34</v>
      </c>
      <c r="B40" s="12" t="s">
        <v>222</v>
      </c>
      <c r="C40" s="12" t="s">
        <v>570</v>
      </c>
      <c r="D40" s="12" t="s">
        <v>156</v>
      </c>
      <c r="E40" s="12">
        <v>2</v>
      </c>
      <c r="F40" s="12" t="s">
        <v>101</v>
      </c>
      <c r="G40" s="12" t="s">
        <v>757</v>
      </c>
      <c r="H40" s="12" t="s">
        <v>774</v>
      </c>
      <c r="I40" s="14">
        <v>10</v>
      </c>
      <c r="J40" s="13">
        <f>IF(B40="","",SUMIF(Bieu04A_12thang!$B:$B,B40,Bieu04A_12thang!$O:$O))</f>
        <v>511</v>
      </c>
      <c r="K40" s="23"/>
      <c r="L40" s="13">
        <f>IF(B40="","",SUMIF(Bieu04A_12thang!$B:$B,B40,Bieu04A_12thang!$AB:$AB))</f>
        <v>1137486</v>
      </c>
      <c r="M40" s="12"/>
      <c r="N40" s="12"/>
      <c r="O40" s="12"/>
      <c r="P40" s="12"/>
    </row>
    <row r="41" spans="1:16" x14ac:dyDescent="0.3">
      <c r="A41" s="11">
        <v>35</v>
      </c>
      <c r="B41" s="12" t="s">
        <v>230</v>
      </c>
      <c r="C41" s="12" t="s">
        <v>578</v>
      </c>
      <c r="D41" s="12" t="s">
        <v>156</v>
      </c>
      <c r="E41" s="12">
        <v>2</v>
      </c>
      <c r="F41" s="12" t="s">
        <v>101</v>
      </c>
      <c r="G41" s="12" t="s">
        <v>757</v>
      </c>
      <c r="H41" s="12" t="s">
        <v>774</v>
      </c>
      <c r="I41" s="14">
        <v>10</v>
      </c>
      <c r="J41" s="13">
        <f>IF(B41="","",SUMIF(Bieu04A_12thang!$B:$B,B41,Bieu04A_12thang!$O:$O))</f>
        <v>7405</v>
      </c>
      <c r="K41" s="23"/>
      <c r="L41" s="13">
        <f>IF(B41="","",SUMIF(Bieu04A_12thang!$B:$B,B41,Bieu04A_12thang!$AB:$AB))</f>
        <v>16483530</v>
      </c>
      <c r="M41" s="12"/>
      <c r="N41" s="12"/>
      <c r="O41" s="12"/>
      <c r="P41" s="12"/>
    </row>
    <row r="42" spans="1:16" x14ac:dyDescent="0.3">
      <c r="A42" s="11">
        <v>36</v>
      </c>
      <c r="B42" s="12" t="s">
        <v>233</v>
      </c>
      <c r="C42" s="12" t="s">
        <v>580</v>
      </c>
      <c r="D42" s="12" t="s">
        <v>156</v>
      </c>
      <c r="E42" s="12">
        <v>2</v>
      </c>
      <c r="F42" s="12" t="s">
        <v>101</v>
      </c>
      <c r="G42" s="12" t="s">
        <v>757</v>
      </c>
      <c r="H42" s="12" t="s">
        <v>774</v>
      </c>
      <c r="I42" s="14">
        <v>10</v>
      </c>
      <c r="J42" s="13">
        <f>IF(B42="","",SUMIF(Bieu04A_12thang!$B:$B,B42,Bieu04A_12thang!$O:$O))</f>
        <v>21977</v>
      </c>
      <c r="K42" s="23"/>
      <c r="L42" s="13">
        <f>IF(B42="","",SUMIF(Bieu04A_12thang!$B:$B,B42,Bieu04A_12thang!$AB:$AB))</f>
        <v>48920802</v>
      </c>
      <c r="M42" s="12"/>
      <c r="N42" s="12"/>
      <c r="O42" s="12"/>
      <c r="P42" s="12"/>
    </row>
    <row r="43" spans="1:16" x14ac:dyDescent="0.3">
      <c r="A43" s="11">
        <v>37</v>
      </c>
      <c r="B43" s="12" t="s">
        <v>234</v>
      </c>
      <c r="C43" s="12" t="s">
        <v>581</v>
      </c>
      <c r="D43" s="12" t="s">
        <v>156</v>
      </c>
      <c r="E43" s="12">
        <v>2</v>
      </c>
      <c r="F43" s="12" t="s">
        <v>101</v>
      </c>
      <c r="G43" s="12" t="s">
        <v>757</v>
      </c>
      <c r="H43" s="12" t="s">
        <v>774</v>
      </c>
      <c r="I43" s="14">
        <v>10</v>
      </c>
      <c r="J43" s="13">
        <f>IF(B43="","",SUMIF(Bieu04A_12thang!$B:$B,B43,Bieu04A_12thang!$O:$O))</f>
        <v>12134</v>
      </c>
      <c r="K43" s="23"/>
      <c r="L43" s="13">
        <f>IF(B43="","",SUMIF(Bieu04A_12thang!$B:$B,B43,Bieu04A_12thang!$AB:$AB))</f>
        <v>27010284</v>
      </c>
      <c r="M43" s="12"/>
      <c r="N43" s="12"/>
      <c r="O43" s="12"/>
      <c r="P43" s="12"/>
    </row>
    <row r="44" spans="1:16" x14ac:dyDescent="0.3">
      <c r="A44" s="11">
        <v>38</v>
      </c>
      <c r="B44" s="12" t="s">
        <v>235</v>
      </c>
      <c r="C44" s="12" t="s">
        <v>582</v>
      </c>
      <c r="D44" s="12" t="s">
        <v>156</v>
      </c>
      <c r="E44" s="12">
        <v>2</v>
      </c>
      <c r="F44" s="12" t="s">
        <v>101</v>
      </c>
      <c r="G44" s="12" t="s">
        <v>758</v>
      </c>
      <c r="H44" s="12" t="s">
        <v>774</v>
      </c>
      <c r="I44" s="14">
        <v>127</v>
      </c>
      <c r="J44" s="13">
        <f>IF(B44="","",SUMIF(Bieu04A_12thang!$B:$B,B44,Bieu04A_12thang!$O:$O))</f>
        <v>2041</v>
      </c>
      <c r="K44" s="23"/>
      <c r="L44" s="13">
        <f>IF(B44="","",SUMIF(Bieu04A_12thang!$B:$B,B44,Bieu04A_12thang!$AB:$AB))</f>
        <v>4543266</v>
      </c>
      <c r="M44" s="12"/>
      <c r="N44" s="12"/>
      <c r="O44" s="12"/>
      <c r="P44" s="12"/>
    </row>
    <row r="45" spans="1:16" x14ac:dyDescent="0.3">
      <c r="A45" s="11">
        <v>39</v>
      </c>
      <c r="B45" s="12" t="s">
        <v>236</v>
      </c>
      <c r="C45" s="12" t="s">
        <v>583</v>
      </c>
      <c r="D45" s="12" t="s">
        <v>156</v>
      </c>
      <c r="E45" s="12">
        <v>2</v>
      </c>
      <c r="F45" s="12" t="s">
        <v>101</v>
      </c>
      <c r="G45" s="12" t="s">
        <v>758</v>
      </c>
      <c r="H45" s="12" t="s">
        <v>774</v>
      </c>
      <c r="I45" s="14">
        <v>127</v>
      </c>
      <c r="J45" s="13">
        <f>IF(B45="","",SUMIF(Bieu04A_12thang!$B:$B,B45,Bieu04A_12thang!$O:$O))</f>
        <v>15401</v>
      </c>
      <c r="K45" s="23"/>
      <c r="L45" s="13">
        <f>IF(B45="","",SUMIF(Bieu04A_12thang!$B:$B,B45,Bieu04A_12thang!$AB:$AB))</f>
        <v>34282626</v>
      </c>
      <c r="M45" s="12"/>
      <c r="N45" s="12"/>
      <c r="O45" s="12"/>
      <c r="P45" s="12"/>
    </row>
    <row r="46" spans="1:16" x14ac:dyDescent="0.3">
      <c r="A46" s="11">
        <v>40</v>
      </c>
      <c r="B46" s="12" t="s">
        <v>242</v>
      </c>
      <c r="C46" s="12" t="s">
        <v>587</v>
      </c>
      <c r="D46" s="12" t="s">
        <v>156</v>
      </c>
      <c r="E46" s="12">
        <v>2</v>
      </c>
      <c r="F46" s="12" t="s">
        <v>101</v>
      </c>
      <c r="G46" s="12" t="s">
        <v>757</v>
      </c>
      <c r="H46" s="12" t="s">
        <v>774</v>
      </c>
      <c r="I46" s="14">
        <v>10</v>
      </c>
      <c r="J46" s="13">
        <f>IF(B46="","",SUMIF(Bieu04A_12thang!$B:$B,B46,Bieu04A_12thang!$O:$O))</f>
        <v>76</v>
      </c>
      <c r="K46" s="23"/>
      <c r="L46" s="13">
        <f>IF(B46="","",SUMIF(Bieu04A_12thang!$B:$B,B46,Bieu04A_12thang!$AB:$AB))</f>
        <v>169176</v>
      </c>
      <c r="M46" s="12"/>
      <c r="N46" s="12"/>
      <c r="O46" s="12"/>
      <c r="P46" s="12"/>
    </row>
    <row r="47" spans="1:16" x14ac:dyDescent="0.3">
      <c r="A47" s="11">
        <v>41</v>
      </c>
      <c r="B47" s="12" t="s">
        <v>243</v>
      </c>
      <c r="C47" s="12" t="s">
        <v>588</v>
      </c>
      <c r="D47" s="12" t="s">
        <v>156</v>
      </c>
      <c r="E47" s="12">
        <v>2</v>
      </c>
      <c r="F47" s="12" t="s">
        <v>101</v>
      </c>
      <c r="G47" s="12" t="s">
        <v>757</v>
      </c>
      <c r="H47" s="12" t="s">
        <v>774</v>
      </c>
      <c r="I47" s="14">
        <v>10</v>
      </c>
      <c r="J47" s="13">
        <f>IF(B47="","",SUMIF(Bieu04A_12thang!$B:$B,B47,Bieu04A_12thang!$O:$O))</f>
        <v>284</v>
      </c>
      <c r="K47" s="23"/>
      <c r="L47" s="13">
        <f>IF(B47="","",SUMIF(Bieu04A_12thang!$B:$B,B47,Bieu04A_12thang!$AB:$AB))</f>
        <v>632184</v>
      </c>
      <c r="M47" s="12"/>
      <c r="N47" s="12"/>
      <c r="O47" s="12"/>
      <c r="P47" s="12"/>
    </row>
    <row r="48" spans="1:16" x14ac:dyDescent="0.3">
      <c r="A48" s="11">
        <v>42</v>
      </c>
      <c r="B48" s="12" t="s">
        <v>244</v>
      </c>
      <c r="C48" s="12" t="s">
        <v>588</v>
      </c>
      <c r="D48" s="12" t="s">
        <v>156</v>
      </c>
      <c r="E48" s="12">
        <v>2</v>
      </c>
      <c r="F48" s="12" t="s">
        <v>101</v>
      </c>
      <c r="G48" s="12" t="s">
        <v>757</v>
      </c>
      <c r="H48" s="12" t="s">
        <v>774</v>
      </c>
      <c r="I48" s="14">
        <v>10</v>
      </c>
      <c r="J48" s="13">
        <f>IF(B48="","",SUMIF(Bieu04A_12thang!$B:$B,B48,Bieu04A_12thang!$O:$O))</f>
        <v>290</v>
      </c>
      <c r="K48" s="23"/>
      <c r="L48" s="13">
        <f>IF(B48="","",SUMIF(Bieu04A_12thang!$B:$B,B48,Bieu04A_12thang!$AB:$AB))</f>
        <v>645540</v>
      </c>
      <c r="M48" s="12"/>
      <c r="N48" s="12"/>
      <c r="O48" s="12"/>
      <c r="P48" s="12"/>
    </row>
    <row r="49" spans="1:16" x14ac:dyDescent="0.3">
      <c r="A49" s="11">
        <v>43</v>
      </c>
      <c r="B49" s="12" t="s">
        <v>245</v>
      </c>
      <c r="C49" s="12" t="s">
        <v>588</v>
      </c>
      <c r="D49" s="12" t="s">
        <v>156</v>
      </c>
      <c r="E49" s="12">
        <v>2</v>
      </c>
      <c r="F49" s="12" t="s">
        <v>101</v>
      </c>
      <c r="G49" s="12" t="s">
        <v>757</v>
      </c>
      <c r="H49" s="12" t="s">
        <v>774</v>
      </c>
      <c r="I49" s="14">
        <v>10</v>
      </c>
      <c r="J49" s="13">
        <f>IF(B49="","",SUMIF(Bieu04A_12thang!$B:$B,B49,Bieu04A_12thang!$O:$O))</f>
        <v>326</v>
      </c>
      <c r="K49" s="23"/>
      <c r="L49" s="13">
        <f>IF(B49="","",SUMIF(Bieu04A_12thang!$B:$B,B49,Bieu04A_12thang!$AB:$AB))</f>
        <v>725676</v>
      </c>
      <c r="M49" s="12"/>
      <c r="N49" s="12"/>
      <c r="O49" s="12"/>
      <c r="P49" s="12"/>
    </row>
    <row r="50" spans="1:16" x14ac:dyDescent="0.3">
      <c r="A50" s="11">
        <v>44</v>
      </c>
      <c r="B50" s="12" t="s">
        <v>246</v>
      </c>
      <c r="C50" s="12" t="s">
        <v>588</v>
      </c>
      <c r="D50" s="12" t="s">
        <v>156</v>
      </c>
      <c r="E50" s="12">
        <v>2</v>
      </c>
      <c r="F50" s="12" t="s">
        <v>101</v>
      </c>
      <c r="G50" s="12" t="s">
        <v>757</v>
      </c>
      <c r="H50" s="12" t="s">
        <v>774</v>
      </c>
      <c r="I50" s="14">
        <v>10</v>
      </c>
      <c r="J50" s="13">
        <f>IF(B50="","",SUMIF(Bieu04A_12thang!$B:$B,B50,Bieu04A_12thang!$O:$O))</f>
        <v>104</v>
      </c>
      <c r="K50" s="23"/>
      <c r="L50" s="13">
        <f>IF(B50="","",SUMIF(Bieu04A_12thang!$B:$B,B50,Bieu04A_12thang!$AB:$AB))</f>
        <v>231504</v>
      </c>
      <c r="M50" s="12"/>
      <c r="N50" s="12"/>
      <c r="O50" s="12"/>
      <c r="P50" s="12"/>
    </row>
    <row r="51" spans="1:16" x14ac:dyDescent="0.3">
      <c r="A51" s="11">
        <v>45</v>
      </c>
      <c r="B51" s="12" t="s">
        <v>247</v>
      </c>
      <c r="C51" s="12" t="s">
        <v>589</v>
      </c>
      <c r="D51" s="12" t="s">
        <v>156</v>
      </c>
      <c r="E51" s="12">
        <v>2</v>
      </c>
      <c r="F51" s="12" t="s">
        <v>101</v>
      </c>
      <c r="G51" s="12" t="s">
        <v>757</v>
      </c>
      <c r="H51" s="12" t="s">
        <v>774</v>
      </c>
      <c r="I51" s="14">
        <v>10</v>
      </c>
      <c r="J51" s="13">
        <f>IF(B51="","",SUMIF(Bieu04A_12thang!$B:$B,B51,Bieu04A_12thang!$O:$O))</f>
        <v>350</v>
      </c>
      <c r="K51" s="23"/>
      <c r="L51" s="13">
        <f>IF(B51="","",SUMIF(Bieu04A_12thang!$B:$B,B51,Bieu04A_12thang!$AB:$AB))</f>
        <v>779100</v>
      </c>
      <c r="M51" s="12"/>
      <c r="N51" s="12"/>
      <c r="O51" s="12"/>
      <c r="P51" s="12"/>
    </row>
    <row r="52" spans="1:16" x14ac:dyDescent="0.3">
      <c r="A52" s="11">
        <v>46</v>
      </c>
      <c r="B52" s="12" t="s">
        <v>248</v>
      </c>
      <c r="C52" s="12" t="s">
        <v>589</v>
      </c>
      <c r="D52" s="12" t="s">
        <v>156</v>
      </c>
      <c r="E52" s="12">
        <v>2</v>
      </c>
      <c r="F52" s="12" t="s">
        <v>101</v>
      </c>
      <c r="G52" s="12" t="s">
        <v>757</v>
      </c>
      <c r="H52" s="12" t="s">
        <v>774</v>
      </c>
      <c r="I52" s="14">
        <v>10</v>
      </c>
      <c r="J52" s="13">
        <f>IF(B52="","",SUMIF(Bieu04A_12thang!$B:$B,B52,Bieu04A_12thang!$O:$O))</f>
        <v>190</v>
      </c>
      <c r="K52" s="23"/>
      <c r="L52" s="13">
        <f>IF(B52="","",SUMIF(Bieu04A_12thang!$B:$B,B52,Bieu04A_12thang!$AB:$AB))</f>
        <v>422940</v>
      </c>
      <c r="M52" s="12"/>
      <c r="N52" s="12"/>
      <c r="O52" s="12"/>
      <c r="P52" s="12"/>
    </row>
    <row r="53" spans="1:16" x14ac:dyDescent="0.3">
      <c r="A53" s="11">
        <v>47</v>
      </c>
      <c r="B53" s="12" t="s">
        <v>249</v>
      </c>
      <c r="C53" s="12" t="s">
        <v>589</v>
      </c>
      <c r="D53" s="12" t="s">
        <v>156</v>
      </c>
      <c r="E53" s="12">
        <v>2</v>
      </c>
      <c r="F53" s="12" t="s">
        <v>101</v>
      </c>
      <c r="G53" s="12" t="s">
        <v>757</v>
      </c>
      <c r="H53" s="12" t="s">
        <v>774</v>
      </c>
      <c r="I53" s="14">
        <v>10</v>
      </c>
      <c r="J53" s="13">
        <f>IF(B53="","",SUMIF(Bieu04A_12thang!$B:$B,B53,Bieu04A_12thang!$O:$O))</f>
        <v>938</v>
      </c>
      <c r="K53" s="23"/>
      <c r="L53" s="13">
        <f>IF(B53="","",SUMIF(Bieu04A_12thang!$B:$B,B53,Bieu04A_12thang!$AB:$AB))</f>
        <v>2087988</v>
      </c>
      <c r="M53" s="12"/>
      <c r="N53" s="12"/>
      <c r="O53" s="12"/>
      <c r="P53" s="12"/>
    </row>
    <row r="54" spans="1:16" x14ac:dyDescent="0.3">
      <c r="A54" s="11">
        <v>48</v>
      </c>
      <c r="B54" s="12" t="s">
        <v>250</v>
      </c>
      <c r="C54" s="12" t="s">
        <v>589</v>
      </c>
      <c r="D54" s="12" t="s">
        <v>156</v>
      </c>
      <c r="E54" s="12">
        <v>2</v>
      </c>
      <c r="F54" s="12" t="s">
        <v>101</v>
      </c>
      <c r="G54" s="12" t="s">
        <v>757</v>
      </c>
      <c r="H54" s="12" t="s">
        <v>774</v>
      </c>
      <c r="I54" s="14">
        <v>10</v>
      </c>
      <c r="J54" s="13">
        <f>IF(B54="","",SUMIF(Bieu04A_12thang!$B:$B,B54,Bieu04A_12thang!$O:$O))</f>
        <v>288</v>
      </c>
      <c r="K54" s="23"/>
      <c r="L54" s="13">
        <f>IF(B54="","",SUMIF(Bieu04A_12thang!$B:$B,B54,Bieu04A_12thang!$AB:$AB))</f>
        <v>641088</v>
      </c>
      <c r="M54" s="12"/>
      <c r="N54" s="12"/>
      <c r="O54" s="12"/>
      <c r="P54" s="12"/>
    </row>
    <row r="55" spans="1:16" x14ac:dyDescent="0.3">
      <c r="A55" s="11">
        <v>49</v>
      </c>
      <c r="B55" s="12" t="s">
        <v>251</v>
      </c>
      <c r="C55" s="12" t="s">
        <v>589</v>
      </c>
      <c r="D55" s="12" t="s">
        <v>156</v>
      </c>
      <c r="E55" s="12">
        <v>2</v>
      </c>
      <c r="F55" s="12" t="s">
        <v>101</v>
      </c>
      <c r="G55" s="12" t="s">
        <v>757</v>
      </c>
      <c r="H55" s="12" t="s">
        <v>774</v>
      </c>
      <c r="I55" s="14">
        <v>10</v>
      </c>
      <c r="J55" s="13">
        <f>IF(B55="","",SUMIF(Bieu04A_12thang!$B:$B,B55,Bieu04A_12thang!$O:$O))</f>
        <v>208</v>
      </c>
      <c r="K55" s="23"/>
      <c r="L55" s="13">
        <f>IF(B55="","",SUMIF(Bieu04A_12thang!$B:$B,B55,Bieu04A_12thang!$AB:$AB))</f>
        <v>461468</v>
      </c>
      <c r="M55" s="12"/>
      <c r="N55" s="12"/>
      <c r="O55" s="12"/>
      <c r="P55" s="12"/>
    </row>
    <row r="56" spans="1:16" x14ac:dyDescent="0.3">
      <c r="A56" s="11">
        <v>50</v>
      </c>
      <c r="B56" s="12" t="s">
        <v>252</v>
      </c>
      <c r="C56" s="12" t="s">
        <v>589</v>
      </c>
      <c r="D56" s="12" t="s">
        <v>156</v>
      </c>
      <c r="E56" s="12">
        <v>2</v>
      </c>
      <c r="F56" s="12" t="s">
        <v>101</v>
      </c>
      <c r="G56" s="12" t="s">
        <v>757</v>
      </c>
      <c r="H56" s="12" t="s">
        <v>774</v>
      </c>
      <c r="I56" s="14">
        <v>10</v>
      </c>
      <c r="J56" s="13">
        <f>IF(B56="","",SUMIF(Bieu04A_12thang!$B:$B,B56,Bieu04A_12thang!$O:$O))</f>
        <v>444</v>
      </c>
      <c r="K56" s="23"/>
      <c r="L56" s="13">
        <f>IF(B56="","",SUMIF(Bieu04A_12thang!$B:$B,B56,Bieu04A_12thang!$AB:$AB))</f>
        <v>988344</v>
      </c>
      <c r="M56" s="12"/>
      <c r="N56" s="12"/>
      <c r="O56" s="12"/>
      <c r="P56" s="12"/>
    </row>
    <row r="57" spans="1:16" x14ac:dyDescent="0.3">
      <c r="A57" s="11">
        <v>51</v>
      </c>
      <c r="B57" s="12" t="s">
        <v>253</v>
      </c>
      <c r="C57" s="12" t="s">
        <v>589</v>
      </c>
      <c r="D57" s="12" t="s">
        <v>156</v>
      </c>
      <c r="E57" s="12">
        <v>2</v>
      </c>
      <c r="F57" s="12" t="s">
        <v>101</v>
      </c>
      <c r="G57" s="12" t="s">
        <v>757</v>
      </c>
      <c r="H57" s="12" t="s">
        <v>774</v>
      </c>
      <c r="I57" s="14">
        <v>10</v>
      </c>
      <c r="J57" s="13">
        <f>IF(B57="","",SUMIF(Bieu04A_12thang!$B:$B,B57,Bieu04A_12thang!$O:$O))</f>
        <v>81</v>
      </c>
      <c r="K57" s="23"/>
      <c r="L57" s="13">
        <f>IF(B57="","",SUMIF(Bieu04A_12thang!$B:$B,B57,Bieu04A_12thang!$AB:$AB))</f>
        <v>180306</v>
      </c>
      <c r="M57" s="12"/>
      <c r="N57" s="12"/>
      <c r="O57" s="12"/>
      <c r="P57" s="12"/>
    </row>
    <row r="58" spans="1:16" x14ac:dyDescent="0.3">
      <c r="A58" s="11">
        <v>52</v>
      </c>
      <c r="B58" s="12" t="s">
        <v>254</v>
      </c>
      <c r="C58" s="12" t="s">
        <v>589</v>
      </c>
      <c r="D58" s="12" t="s">
        <v>156</v>
      </c>
      <c r="E58" s="12">
        <v>2</v>
      </c>
      <c r="F58" s="12" t="s">
        <v>101</v>
      </c>
      <c r="G58" s="12" t="s">
        <v>757</v>
      </c>
      <c r="H58" s="12" t="s">
        <v>774</v>
      </c>
      <c r="I58" s="14">
        <v>10</v>
      </c>
      <c r="J58" s="13">
        <f>IF(B58="","",SUMIF(Bieu04A_12thang!$B:$B,B58,Bieu04A_12thang!$O:$O))</f>
        <v>292</v>
      </c>
      <c r="K58" s="23"/>
      <c r="L58" s="13">
        <f>IF(B58="","",SUMIF(Bieu04A_12thang!$B:$B,B58,Bieu04A_12thang!$AB:$AB))</f>
        <v>649992</v>
      </c>
      <c r="M58" s="12"/>
      <c r="N58" s="12"/>
      <c r="O58" s="12"/>
      <c r="P58" s="12"/>
    </row>
    <row r="59" spans="1:16" x14ac:dyDescent="0.3">
      <c r="A59" s="11">
        <v>53</v>
      </c>
      <c r="B59" s="12" t="s">
        <v>255</v>
      </c>
      <c r="C59" s="12" t="s">
        <v>589</v>
      </c>
      <c r="D59" s="12" t="s">
        <v>156</v>
      </c>
      <c r="E59" s="12">
        <v>2</v>
      </c>
      <c r="F59" s="12" t="s">
        <v>101</v>
      </c>
      <c r="G59" s="12" t="s">
        <v>757</v>
      </c>
      <c r="H59" s="12" t="s">
        <v>774</v>
      </c>
      <c r="I59" s="14">
        <v>10</v>
      </c>
      <c r="J59" s="13">
        <f>IF(B59="","",SUMIF(Bieu04A_12thang!$B:$B,B59,Bieu04A_12thang!$O:$O))</f>
        <v>737</v>
      </c>
      <c r="K59" s="23"/>
      <c r="L59" s="13">
        <f>IF(B59="","",SUMIF(Bieu04A_12thang!$B:$B,B59,Bieu04A_12thang!$AB:$AB))</f>
        <v>1640562</v>
      </c>
      <c r="M59" s="12"/>
      <c r="N59" s="12"/>
      <c r="O59" s="12"/>
      <c r="P59" s="12"/>
    </row>
    <row r="60" spans="1:16" x14ac:dyDescent="0.3">
      <c r="A60" s="11">
        <v>54</v>
      </c>
      <c r="B60" s="12" t="s">
        <v>256</v>
      </c>
      <c r="C60" s="12" t="s">
        <v>589</v>
      </c>
      <c r="D60" s="12" t="s">
        <v>156</v>
      </c>
      <c r="E60" s="12">
        <v>2</v>
      </c>
      <c r="F60" s="12" t="s">
        <v>101</v>
      </c>
      <c r="G60" s="12" t="s">
        <v>757</v>
      </c>
      <c r="H60" s="12" t="s">
        <v>774</v>
      </c>
      <c r="I60" s="14">
        <v>10</v>
      </c>
      <c r="J60" s="13">
        <f>IF(B60="","",SUMIF(Bieu04A_12thang!$B:$B,B60,Bieu04A_12thang!$O:$O))</f>
        <v>216</v>
      </c>
      <c r="K60" s="23"/>
      <c r="L60" s="13">
        <f>IF(B60="","",SUMIF(Bieu04A_12thang!$B:$B,B60,Bieu04A_12thang!$AB:$AB))</f>
        <v>480816</v>
      </c>
      <c r="M60" s="12"/>
      <c r="N60" s="12"/>
      <c r="O60" s="12"/>
      <c r="P60" s="12"/>
    </row>
    <row r="61" spans="1:16" x14ac:dyDescent="0.3">
      <c r="A61" s="11">
        <v>55</v>
      </c>
      <c r="B61" s="12" t="s">
        <v>257</v>
      </c>
      <c r="C61" s="12" t="s">
        <v>589</v>
      </c>
      <c r="D61" s="12" t="s">
        <v>156</v>
      </c>
      <c r="E61" s="12">
        <v>2</v>
      </c>
      <c r="F61" s="12" t="s">
        <v>101</v>
      </c>
      <c r="G61" s="12" t="s">
        <v>757</v>
      </c>
      <c r="H61" s="12" t="s">
        <v>774</v>
      </c>
      <c r="I61" s="14">
        <v>10</v>
      </c>
      <c r="J61" s="13">
        <f>IF(B61="","",SUMIF(Bieu04A_12thang!$B:$B,B61,Bieu04A_12thang!$O:$O))</f>
        <v>154</v>
      </c>
      <c r="K61" s="23"/>
      <c r="L61" s="13">
        <f>IF(B61="","",SUMIF(Bieu04A_12thang!$B:$B,B61,Bieu04A_12thang!$AB:$AB))</f>
        <v>342804</v>
      </c>
      <c r="M61" s="12"/>
      <c r="N61" s="12"/>
      <c r="O61" s="12"/>
      <c r="P61" s="12"/>
    </row>
    <row r="62" spans="1:16" x14ac:dyDescent="0.3">
      <c r="A62" s="11">
        <v>56</v>
      </c>
      <c r="B62" s="12" t="s">
        <v>258</v>
      </c>
      <c r="C62" s="12" t="s">
        <v>589</v>
      </c>
      <c r="D62" s="12" t="s">
        <v>156</v>
      </c>
      <c r="E62" s="12">
        <v>2</v>
      </c>
      <c r="F62" s="12" t="s">
        <v>101</v>
      </c>
      <c r="G62" s="12" t="s">
        <v>757</v>
      </c>
      <c r="H62" s="12" t="s">
        <v>774</v>
      </c>
      <c r="I62" s="14">
        <v>10</v>
      </c>
      <c r="J62" s="13">
        <f>IF(B62="","",SUMIF(Bieu04A_12thang!$B:$B,B62,Bieu04A_12thang!$O:$O))</f>
        <v>181</v>
      </c>
      <c r="K62" s="23"/>
      <c r="L62" s="13">
        <f>IF(B62="","",SUMIF(Bieu04A_12thang!$B:$B,B62,Bieu04A_12thang!$AB:$AB))</f>
        <v>402906</v>
      </c>
      <c r="M62" s="12"/>
      <c r="N62" s="12"/>
      <c r="O62" s="12"/>
      <c r="P62" s="12"/>
    </row>
    <row r="63" spans="1:16" x14ac:dyDescent="0.3">
      <c r="A63" s="11">
        <v>57</v>
      </c>
      <c r="B63" s="12" t="s">
        <v>259</v>
      </c>
      <c r="C63" s="12" t="s">
        <v>589</v>
      </c>
      <c r="D63" s="12" t="s">
        <v>156</v>
      </c>
      <c r="E63" s="12">
        <v>2</v>
      </c>
      <c r="F63" s="12" t="s">
        <v>101</v>
      </c>
      <c r="G63" s="12" t="s">
        <v>757</v>
      </c>
      <c r="H63" s="12" t="s">
        <v>774</v>
      </c>
      <c r="I63" s="14">
        <v>10</v>
      </c>
      <c r="J63" s="13">
        <f>IF(B63="","",SUMIF(Bieu04A_12thang!$B:$B,B63,Bieu04A_12thang!$O:$O))</f>
        <v>306</v>
      </c>
      <c r="K63" s="23"/>
      <c r="L63" s="13">
        <f>IF(B63="","",SUMIF(Bieu04A_12thang!$B:$B,B63,Bieu04A_12thang!$AB:$AB))</f>
        <v>681156</v>
      </c>
      <c r="M63" s="12"/>
      <c r="N63" s="12"/>
      <c r="O63" s="12"/>
      <c r="P63" s="12"/>
    </row>
    <row r="64" spans="1:16" x14ac:dyDescent="0.3">
      <c r="A64" s="11">
        <v>58</v>
      </c>
      <c r="B64" s="12" t="s">
        <v>260</v>
      </c>
      <c r="C64" s="12" t="s">
        <v>589</v>
      </c>
      <c r="D64" s="12" t="s">
        <v>156</v>
      </c>
      <c r="E64" s="12">
        <v>2</v>
      </c>
      <c r="F64" s="12" t="s">
        <v>101</v>
      </c>
      <c r="G64" s="12" t="s">
        <v>757</v>
      </c>
      <c r="H64" s="12" t="s">
        <v>774</v>
      </c>
      <c r="I64" s="14">
        <v>10</v>
      </c>
      <c r="J64" s="13">
        <f>IF(B64="","",SUMIF(Bieu04A_12thang!$B:$B,B64,Bieu04A_12thang!$O:$O))</f>
        <v>252</v>
      </c>
      <c r="K64" s="23"/>
      <c r="L64" s="13">
        <f>IF(B64="","",SUMIF(Bieu04A_12thang!$B:$B,B64,Bieu04A_12thang!$AB:$AB))</f>
        <v>560952</v>
      </c>
      <c r="M64" s="12"/>
      <c r="N64" s="12"/>
      <c r="O64" s="12"/>
      <c r="P64" s="12"/>
    </row>
    <row r="65" spans="1:16" x14ac:dyDescent="0.3">
      <c r="A65" s="11">
        <v>59</v>
      </c>
      <c r="B65" s="12" t="s">
        <v>261</v>
      </c>
      <c r="C65" s="12" t="s">
        <v>589</v>
      </c>
      <c r="D65" s="12" t="s">
        <v>156</v>
      </c>
      <c r="E65" s="12">
        <v>2</v>
      </c>
      <c r="F65" s="12" t="s">
        <v>101</v>
      </c>
      <c r="G65" s="12" t="s">
        <v>757</v>
      </c>
      <c r="H65" s="12" t="s">
        <v>774</v>
      </c>
      <c r="I65" s="14">
        <v>10</v>
      </c>
      <c r="J65" s="13">
        <f>IF(B65="","",SUMIF(Bieu04A_12thang!$B:$B,B65,Bieu04A_12thang!$O:$O))</f>
        <v>171</v>
      </c>
      <c r="K65" s="23"/>
      <c r="L65" s="13">
        <f>IF(B65="","",SUMIF(Bieu04A_12thang!$B:$B,B65,Bieu04A_12thang!$AB:$AB))</f>
        <v>380646</v>
      </c>
      <c r="M65" s="12"/>
      <c r="N65" s="12"/>
      <c r="O65" s="12"/>
      <c r="P65" s="12"/>
    </row>
    <row r="66" spans="1:16" x14ac:dyDescent="0.3">
      <c r="A66" s="11">
        <v>60</v>
      </c>
      <c r="B66" s="12" t="s">
        <v>262</v>
      </c>
      <c r="C66" s="12" t="s">
        <v>589</v>
      </c>
      <c r="D66" s="12" t="s">
        <v>156</v>
      </c>
      <c r="E66" s="12">
        <v>2</v>
      </c>
      <c r="F66" s="12" t="s">
        <v>101</v>
      </c>
      <c r="G66" s="12" t="s">
        <v>757</v>
      </c>
      <c r="H66" s="12" t="s">
        <v>774</v>
      </c>
      <c r="I66" s="14">
        <v>10</v>
      </c>
      <c r="J66" s="13">
        <f>IF(B66="","",SUMIF(Bieu04A_12thang!$B:$B,B66,Bieu04A_12thang!$O:$O))</f>
        <v>315</v>
      </c>
      <c r="K66" s="23"/>
      <c r="L66" s="13">
        <f>IF(B66="","",SUMIF(Bieu04A_12thang!$B:$B,B66,Bieu04A_12thang!$AB:$AB))</f>
        <v>701190</v>
      </c>
      <c r="M66" s="12"/>
      <c r="N66" s="12"/>
      <c r="O66" s="12"/>
      <c r="P66" s="12"/>
    </row>
    <row r="67" spans="1:16" x14ac:dyDescent="0.3">
      <c r="A67" s="11">
        <v>61</v>
      </c>
      <c r="B67" s="12" t="s">
        <v>263</v>
      </c>
      <c r="C67" s="12" t="s">
        <v>589</v>
      </c>
      <c r="D67" s="12" t="s">
        <v>156</v>
      </c>
      <c r="E67" s="12">
        <v>2</v>
      </c>
      <c r="F67" s="12" t="s">
        <v>101</v>
      </c>
      <c r="G67" s="12" t="s">
        <v>757</v>
      </c>
      <c r="H67" s="12" t="s">
        <v>774</v>
      </c>
      <c r="I67" s="14">
        <v>10</v>
      </c>
      <c r="J67" s="13">
        <f>IF(B67="","",SUMIF(Bieu04A_12thang!$B:$B,B67,Bieu04A_12thang!$O:$O))</f>
        <v>210</v>
      </c>
      <c r="K67" s="23"/>
      <c r="L67" s="13">
        <f>IF(B67="","",SUMIF(Bieu04A_12thang!$B:$B,B67,Bieu04A_12thang!$AB:$AB))</f>
        <v>467460</v>
      </c>
      <c r="M67" s="12"/>
      <c r="N67" s="12"/>
      <c r="O67" s="12"/>
      <c r="P67" s="12"/>
    </row>
    <row r="68" spans="1:16" x14ac:dyDescent="0.3">
      <c r="A68" s="11">
        <v>62</v>
      </c>
      <c r="B68" s="12" t="s">
        <v>264</v>
      </c>
      <c r="C68" s="12" t="s">
        <v>589</v>
      </c>
      <c r="D68" s="12" t="s">
        <v>156</v>
      </c>
      <c r="E68" s="12">
        <v>2</v>
      </c>
      <c r="F68" s="12" t="s">
        <v>101</v>
      </c>
      <c r="G68" s="12" t="s">
        <v>757</v>
      </c>
      <c r="H68" s="12" t="s">
        <v>774</v>
      </c>
      <c r="I68" s="14">
        <v>10</v>
      </c>
      <c r="J68" s="13">
        <f>IF(B68="","",SUMIF(Bieu04A_12thang!$B:$B,B68,Bieu04A_12thang!$O:$O))</f>
        <v>362</v>
      </c>
      <c r="K68" s="23"/>
      <c r="L68" s="13">
        <f>IF(B68="","",SUMIF(Bieu04A_12thang!$B:$B,B68,Bieu04A_12thang!$AB:$AB))</f>
        <v>805812</v>
      </c>
      <c r="M68" s="12"/>
      <c r="N68" s="12"/>
      <c r="O68" s="12"/>
      <c r="P68" s="12"/>
    </row>
    <row r="69" spans="1:16" x14ac:dyDescent="0.3">
      <c r="A69" s="11">
        <v>63</v>
      </c>
      <c r="B69" s="12" t="s">
        <v>265</v>
      </c>
      <c r="C69" s="12" t="s">
        <v>589</v>
      </c>
      <c r="D69" s="12" t="s">
        <v>156</v>
      </c>
      <c r="E69" s="12">
        <v>2</v>
      </c>
      <c r="F69" s="12" t="s">
        <v>101</v>
      </c>
      <c r="G69" s="12" t="s">
        <v>757</v>
      </c>
      <c r="H69" s="12" t="s">
        <v>774</v>
      </c>
      <c r="I69" s="14">
        <v>10</v>
      </c>
      <c r="J69" s="13">
        <f>IF(B69="","",SUMIF(Bieu04A_12thang!$B:$B,B69,Bieu04A_12thang!$O:$O))</f>
        <v>1246</v>
      </c>
      <c r="K69" s="23"/>
      <c r="L69" s="13">
        <f>IF(B69="","",SUMIF(Bieu04A_12thang!$B:$B,B69,Bieu04A_12thang!$AB:$AB))</f>
        <v>2773596</v>
      </c>
      <c r="M69" s="12"/>
      <c r="N69" s="12"/>
      <c r="O69" s="12"/>
      <c r="P69" s="12"/>
    </row>
    <row r="70" spans="1:16" x14ac:dyDescent="0.3">
      <c r="A70" s="11">
        <v>64</v>
      </c>
      <c r="B70" s="12" t="s">
        <v>266</v>
      </c>
      <c r="C70" s="12" t="s">
        <v>589</v>
      </c>
      <c r="D70" s="12" t="s">
        <v>156</v>
      </c>
      <c r="E70" s="12">
        <v>2</v>
      </c>
      <c r="F70" s="12" t="s">
        <v>101</v>
      </c>
      <c r="G70" s="12" t="s">
        <v>757</v>
      </c>
      <c r="H70" s="12" t="s">
        <v>774</v>
      </c>
      <c r="I70" s="14">
        <v>10</v>
      </c>
      <c r="J70" s="13">
        <f>IF(B70="","",SUMIF(Bieu04A_12thang!$B:$B,B70,Bieu04A_12thang!$O:$O))</f>
        <v>1138</v>
      </c>
      <c r="K70" s="23"/>
      <c r="L70" s="13">
        <f>IF(B70="","",SUMIF(Bieu04A_12thang!$B:$B,B70,Bieu04A_12thang!$AB:$AB))</f>
        <v>2533188</v>
      </c>
      <c r="M70" s="12"/>
      <c r="N70" s="12"/>
      <c r="O70" s="12"/>
      <c r="P70" s="12"/>
    </row>
    <row r="71" spans="1:16" x14ac:dyDescent="0.3">
      <c r="A71" s="11">
        <v>65</v>
      </c>
      <c r="B71" s="12" t="s">
        <v>267</v>
      </c>
      <c r="C71" s="12" t="s">
        <v>589</v>
      </c>
      <c r="D71" s="12" t="s">
        <v>156</v>
      </c>
      <c r="E71" s="12">
        <v>2</v>
      </c>
      <c r="F71" s="12" t="s">
        <v>101</v>
      </c>
      <c r="G71" s="12" t="s">
        <v>757</v>
      </c>
      <c r="H71" s="12" t="s">
        <v>774</v>
      </c>
      <c r="I71" s="14">
        <v>10</v>
      </c>
      <c r="J71" s="13">
        <f>IF(B71="","",SUMIF(Bieu04A_12thang!$B:$B,B71,Bieu04A_12thang!$O:$O))</f>
        <v>156</v>
      </c>
      <c r="K71" s="23"/>
      <c r="L71" s="13">
        <f>IF(B71="","",SUMIF(Bieu04A_12thang!$B:$B,B71,Bieu04A_12thang!$AB:$AB))</f>
        <v>347256</v>
      </c>
      <c r="M71" s="12"/>
      <c r="N71" s="12"/>
      <c r="O71" s="12"/>
      <c r="P71" s="12"/>
    </row>
    <row r="72" spans="1:16" x14ac:dyDescent="0.3">
      <c r="A72" s="11">
        <v>66</v>
      </c>
      <c r="B72" s="12" t="s">
        <v>268</v>
      </c>
      <c r="C72" s="12" t="s">
        <v>589</v>
      </c>
      <c r="D72" s="12" t="s">
        <v>156</v>
      </c>
      <c r="E72" s="12">
        <v>2</v>
      </c>
      <c r="F72" s="12" t="s">
        <v>101</v>
      </c>
      <c r="G72" s="12" t="s">
        <v>757</v>
      </c>
      <c r="H72" s="12" t="s">
        <v>774</v>
      </c>
      <c r="I72" s="14">
        <v>10</v>
      </c>
      <c r="J72" s="13">
        <f>IF(B72="","",SUMIF(Bieu04A_12thang!$B:$B,B72,Bieu04A_12thang!$O:$O))</f>
        <v>132</v>
      </c>
      <c r="K72" s="23"/>
      <c r="L72" s="13">
        <f>IF(B72="","",SUMIF(Bieu04A_12thang!$B:$B,B72,Bieu04A_12thang!$AB:$AB))</f>
        <v>293832</v>
      </c>
      <c r="M72" s="12"/>
      <c r="N72" s="12"/>
      <c r="O72" s="12"/>
      <c r="P72" s="12"/>
    </row>
    <row r="73" spans="1:16" x14ac:dyDescent="0.3">
      <c r="A73" s="11">
        <v>67</v>
      </c>
      <c r="B73" s="12" t="s">
        <v>269</v>
      </c>
      <c r="C73" s="12" t="s">
        <v>589</v>
      </c>
      <c r="D73" s="12" t="s">
        <v>156</v>
      </c>
      <c r="E73" s="12">
        <v>2</v>
      </c>
      <c r="F73" s="12" t="s">
        <v>101</v>
      </c>
      <c r="G73" s="12" t="s">
        <v>757</v>
      </c>
      <c r="H73" s="12" t="s">
        <v>774</v>
      </c>
      <c r="I73" s="14">
        <v>10</v>
      </c>
      <c r="J73" s="13">
        <f>IF(B73="","",SUMIF(Bieu04A_12thang!$B:$B,B73,Bieu04A_12thang!$O:$O))</f>
        <v>311</v>
      </c>
      <c r="K73" s="23"/>
      <c r="L73" s="13">
        <f>IF(B73="","",SUMIF(Bieu04A_12thang!$B:$B,B73,Bieu04A_12thang!$AB:$AB))</f>
        <v>692286</v>
      </c>
      <c r="M73" s="12"/>
      <c r="N73" s="12"/>
      <c r="O73" s="12"/>
      <c r="P73" s="12"/>
    </row>
    <row r="74" spans="1:16" x14ac:dyDescent="0.3">
      <c r="A74" s="11">
        <v>68</v>
      </c>
      <c r="B74" s="12" t="s">
        <v>270</v>
      </c>
      <c r="C74" s="12" t="s">
        <v>589</v>
      </c>
      <c r="D74" s="12" t="s">
        <v>156</v>
      </c>
      <c r="E74" s="12">
        <v>2</v>
      </c>
      <c r="F74" s="12" t="s">
        <v>101</v>
      </c>
      <c r="G74" s="12" t="s">
        <v>757</v>
      </c>
      <c r="H74" s="12" t="s">
        <v>774</v>
      </c>
      <c r="I74" s="14">
        <v>10</v>
      </c>
      <c r="J74" s="13">
        <f>IF(B74="","",SUMIF(Bieu04A_12thang!$B:$B,B74,Bieu04A_12thang!$O:$O))</f>
        <v>259</v>
      </c>
      <c r="K74" s="23"/>
      <c r="L74" s="13">
        <f>IF(B74="","",SUMIF(Bieu04A_12thang!$B:$B,B74,Bieu04A_12thang!$AB:$AB))</f>
        <v>576534</v>
      </c>
      <c r="M74" s="12"/>
      <c r="N74" s="12"/>
      <c r="O74" s="12"/>
      <c r="P74" s="12"/>
    </row>
    <row r="75" spans="1:16" x14ac:dyDescent="0.3">
      <c r="A75" s="11">
        <v>69</v>
      </c>
      <c r="B75" s="12" t="s">
        <v>271</v>
      </c>
      <c r="C75" s="12" t="s">
        <v>589</v>
      </c>
      <c r="D75" s="12" t="s">
        <v>156</v>
      </c>
      <c r="E75" s="12">
        <v>2</v>
      </c>
      <c r="F75" s="12" t="s">
        <v>101</v>
      </c>
      <c r="G75" s="12" t="s">
        <v>757</v>
      </c>
      <c r="H75" s="12" t="s">
        <v>774</v>
      </c>
      <c r="I75" s="14">
        <v>10</v>
      </c>
      <c r="J75" s="13">
        <f>IF(B75="","",SUMIF(Bieu04A_12thang!$B:$B,B75,Bieu04A_12thang!$O:$O))</f>
        <v>245</v>
      </c>
      <c r="K75" s="23"/>
      <c r="L75" s="13">
        <f>IF(B75="","",SUMIF(Bieu04A_12thang!$B:$B,B75,Bieu04A_12thang!$AB:$AB))</f>
        <v>545370</v>
      </c>
      <c r="M75" s="12"/>
      <c r="N75" s="12"/>
      <c r="O75" s="12"/>
      <c r="P75" s="12"/>
    </row>
    <row r="76" spans="1:16" x14ac:dyDescent="0.3">
      <c r="A76" s="11">
        <v>70</v>
      </c>
      <c r="B76" s="12" t="s">
        <v>272</v>
      </c>
      <c r="C76" s="12" t="s">
        <v>589</v>
      </c>
      <c r="D76" s="12" t="s">
        <v>156</v>
      </c>
      <c r="E76" s="12">
        <v>2</v>
      </c>
      <c r="F76" s="12" t="s">
        <v>101</v>
      </c>
      <c r="G76" s="12" t="s">
        <v>757</v>
      </c>
      <c r="H76" s="12" t="s">
        <v>774</v>
      </c>
      <c r="I76" s="14">
        <v>10</v>
      </c>
      <c r="J76" s="13">
        <f>IF(B76="","",SUMIF(Bieu04A_12thang!$B:$B,B76,Bieu04A_12thang!$O:$O))</f>
        <v>250</v>
      </c>
      <c r="K76" s="23"/>
      <c r="L76" s="13">
        <f>IF(B76="","",SUMIF(Bieu04A_12thang!$B:$B,B76,Bieu04A_12thang!$AB:$AB))</f>
        <v>556500</v>
      </c>
      <c r="M76" s="12"/>
      <c r="N76" s="12"/>
      <c r="O76" s="12"/>
      <c r="P76" s="12"/>
    </row>
    <row r="77" spans="1:16" x14ac:dyDescent="0.3">
      <c r="A77" s="11">
        <v>71</v>
      </c>
      <c r="B77" s="12" t="s">
        <v>276</v>
      </c>
      <c r="C77" s="12" t="s">
        <v>591</v>
      </c>
      <c r="D77" s="12" t="s">
        <v>156</v>
      </c>
      <c r="E77" s="12">
        <v>2</v>
      </c>
      <c r="F77" s="12" t="s">
        <v>101</v>
      </c>
      <c r="G77" s="12" t="s">
        <v>758</v>
      </c>
      <c r="H77" s="12" t="s">
        <v>774</v>
      </c>
      <c r="I77" s="14">
        <v>127</v>
      </c>
      <c r="J77" s="13">
        <f>IF(B77="","",SUMIF(Bieu04A_12thang!$B:$B,B77,Bieu04A_12thang!$O:$O))</f>
        <v>32436</v>
      </c>
      <c r="K77" s="23"/>
      <c r="L77" s="13">
        <f>IF(B77="","",SUMIF(Bieu04A_12thang!$B:$B,B77,Bieu04A_12thang!$AB:$AB))</f>
        <v>72202536</v>
      </c>
      <c r="M77" s="12"/>
      <c r="N77" s="12"/>
      <c r="O77" s="12"/>
      <c r="P77" s="12"/>
    </row>
    <row r="78" spans="1:16" x14ac:dyDescent="0.3">
      <c r="A78" s="11">
        <v>72</v>
      </c>
      <c r="B78" s="12" t="s">
        <v>277</v>
      </c>
      <c r="C78" s="12" t="s">
        <v>592</v>
      </c>
      <c r="D78" s="12" t="s">
        <v>156</v>
      </c>
      <c r="E78" s="12">
        <v>2</v>
      </c>
      <c r="F78" s="12" t="s">
        <v>101</v>
      </c>
      <c r="G78" s="12" t="s">
        <v>757</v>
      </c>
      <c r="H78" s="12" t="s">
        <v>774</v>
      </c>
      <c r="I78" s="14">
        <v>18</v>
      </c>
      <c r="J78" s="13">
        <f>IF(B78="","",SUMIF(Bieu04A_12thang!$B:$B,B78,Bieu04A_12thang!$O:$O))</f>
        <v>34859</v>
      </c>
      <c r="K78" s="23"/>
      <c r="L78" s="13">
        <f>IF(B78="","",SUMIF(Bieu04A_12thang!$B:$B,B78,Bieu04A_12thang!$AB:$AB))</f>
        <v>77596134</v>
      </c>
      <c r="M78" s="12"/>
      <c r="N78" s="12"/>
      <c r="O78" s="12"/>
      <c r="P78" s="12"/>
    </row>
    <row r="79" spans="1:16" x14ac:dyDescent="0.3">
      <c r="A79" s="11">
        <v>73</v>
      </c>
      <c r="B79" s="12" t="s">
        <v>278</v>
      </c>
      <c r="C79" s="12" t="s">
        <v>593</v>
      </c>
      <c r="D79" s="12" t="s">
        <v>156</v>
      </c>
      <c r="E79" s="12">
        <v>2</v>
      </c>
      <c r="F79" s="12" t="s">
        <v>101</v>
      </c>
      <c r="G79" s="12" t="s">
        <v>757</v>
      </c>
      <c r="H79" s="12" t="s">
        <v>774</v>
      </c>
      <c r="I79" s="14">
        <v>10</v>
      </c>
      <c r="J79" s="13">
        <f>IF(B79="","",SUMIF(Bieu04A_12thang!$B:$B,B79,Bieu04A_12thang!$O:$O))</f>
        <v>3876</v>
      </c>
      <c r="K79" s="23"/>
      <c r="L79" s="13">
        <f>IF(B79="","",SUMIF(Bieu04A_12thang!$B:$B,B79,Bieu04A_12thang!$AB:$AB))</f>
        <v>8627976</v>
      </c>
      <c r="M79" s="12"/>
      <c r="N79" s="12"/>
      <c r="O79" s="12"/>
      <c r="P79" s="12"/>
    </row>
    <row r="80" spans="1:16" x14ac:dyDescent="0.3">
      <c r="A80" s="11">
        <v>74</v>
      </c>
      <c r="B80" s="12" t="s">
        <v>279</v>
      </c>
      <c r="C80" s="12" t="s">
        <v>594</v>
      </c>
      <c r="D80" s="12" t="s">
        <v>156</v>
      </c>
      <c r="E80" s="12">
        <v>2</v>
      </c>
      <c r="F80" s="12" t="s">
        <v>101</v>
      </c>
      <c r="G80" s="12" t="s">
        <v>757</v>
      </c>
      <c r="H80" s="12" t="s">
        <v>774</v>
      </c>
      <c r="I80" s="14">
        <v>10</v>
      </c>
      <c r="J80" s="13">
        <f>IF(B80="","",SUMIF(Bieu04A_12thang!$B:$B,B80,Bieu04A_12thang!$O:$O))</f>
        <v>0</v>
      </c>
      <c r="K80" s="23"/>
      <c r="L80" s="13">
        <f>IF(B80="","",SUMIF(Bieu04A_12thang!$B:$B,B80,Bieu04A_12thang!$AB:$AB))</f>
        <v>0</v>
      </c>
      <c r="M80" s="12"/>
      <c r="N80" s="12"/>
      <c r="O80" s="12"/>
      <c r="P80" s="12"/>
    </row>
    <row r="81" spans="1:16" x14ac:dyDescent="0.3">
      <c r="A81" s="11">
        <v>75</v>
      </c>
      <c r="B81" s="12" t="s">
        <v>280</v>
      </c>
      <c r="C81" s="12" t="s">
        <v>594</v>
      </c>
      <c r="D81" s="12" t="s">
        <v>156</v>
      </c>
      <c r="E81" s="12">
        <v>2</v>
      </c>
      <c r="F81" s="12" t="s">
        <v>101</v>
      </c>
      <c r="G81" s="12" t="s">
        <v>757</v>
      </c>
      <c r="H81" s="12" t="s">
        <v>774</v>
      </c>
      <c r="I81" s="14">
        <v>10</v>
      </c>
      <c r="J81" s="13">
        <f>IF(B81="","",SUMIF(Bieu04A_12thang!$B:$B,B81,Bieu04A_12thang!$O:$O))</f>
        <v>26</v>
      </c>
      <c r="K81" s="23"/>
      <c r="L81" s="13">
        <f>IF(B81="","",SUMIF(Bieu04A_12thang!$B:$B,B81,Bieu04A_12thang!$AB:$AB))</f>
        <v>57876</v>
      </c>
      <c r="M81" s="12"/>
      <c r="N81" s="12"/>
      <c r="O81" s="12"/>
      <c r="P81" s="12"/>
    </row>
    <row r="82" spans="1:16" x14ac:dyDescent="0.3">
      <c r="A82" s="11">
        <v>76</v>
      </c>
      <c r="B82" s="12" t="s">
        <v>282</v>
      </c>
      <c r="C82" s="12" t="s">
        <v>594</v>
      </c>
      <c r="D82" s="12" t="s">
        <v>156</v>
      </c>
      <c r="E82" s="12">
        <v>2</v>
      </c>
      <c r="F82" s="12" t="s">
        <v>101</v>
      </c>
      <c r="G82" s="12" t="s">
        <v>758</v>
      </c>
      <c r="H82" s="12" t="s">
        <v>774</v>
      </c>
      <c r="I82" s="14">
        <v>127</v>
      </c>
      <c r="J82" s="13">
        <f>IF(B82="","",SUMIF(Bieu04A_12thang!$B:$B,B82,Bieu04A_12thang!$O:$O))</f>
        <v>58014</v>
      </c>
      <c r="K82" s="23"/>
      <c r="L82" s="13">
        <f>IF(B82="","",SUMIF(Bieu04A_12thang!$B:$B,B82,Bieu04A_12thang!$AB:$AB))</f>
        <v>129139164</v>
      </c>
      <c r="M82" s="12"/>
      <c r="N82" s="12"/>
      <c r="O82" s="12"/>
      <c r="P82" s="12"/>
    </row>
    <row r="83" spans="1:16" x14ac:dyDescent="0.3">
      <c r="A83" s="11">
        <v>77</v>
      </c>
      <c r="B83" s="12" t="s">
        <v>291</v>
      </c>
      <c r="C83" s="12" t="s">
        <v>597</v>
      </c>
      <c r="D83" s="12" t="s">
        <v>156</v>
      </c>
      <c r="E83" s="12">
        <v>2</v>
      </c>
      <c r="F83" s="12" t="s">
        <v>101</v>
      </c>
      <c r="G83" s="12" t="s">
        <v>758</v>
      </c>
      <c r="H83" s="12" t="s">
        <v>774</v>
      </c>
      <c r="I83" s="14">
        <v>127</v>
      </c>
      <c r="J83" s="13">
        <f>IF(B83="","",SUMIF(Bieu04A_12thang!$B:$B,B83,Bieu04A_12thang!$O:$O))</f>
        <v>553079</v>
      </c>
      <c r="K83" s="23"/>
      <c r="L83" s="13">
        <f>IF(B83="","",SUMIF(Bieu04A_12thang!$B:$B,B83,Bieu04A_12thang!$AB:$AB))</f>
        <v>1231153854</v>
      </c>
      <c r="M83" s="12"/>
      <c r="N83" s="12"/>
      <c r="O83" s="12"/>
      <c r="P83" s="12"/>
    </row>
    <row r="84" spans="1:16" x14ac:dyDescent="0.3">
      <c r="A84" s="11">
        <v>78</v>
      </c>
      <c r="B84" s="12" t="s">
        <v>294</v>
      </c>
      <c r="C84" s="12" t="s">
        <v>600</v>
      </c>
      <c r="D84" s="12" t="s">
        <v>156</v>
      </c>
      <c r="E84" s="12">
        <v>2</v>
      </c>
      <c r="F84" s="12" t="s">
        <v>101</v>
      </c>
      <c r="G84" s="12" t="s">
        <v>757</v>
      </c>
      <c r="H84" s="12" t="s">
        <v>774</v>
      </c>
      <c r="I84" s="14">
        <v>10</v>
      </c>
      <c r="J84" s="13">
        <f>IF(B84="","",SUMIF(Bieu04A_12thang!$B:$B,B84,Bieu04A_12thang!$O:$O))</f>
        <v>2941</v>
      </c>
      <c r="K84" s="23"/>
      <c r="L84" s="13">
        <f>IF(B84="","",SUMIF(Bieu04A_12thang!$B:$B,B84,Bieu04A_12thang!$AB:$AB))</f>
        <v>6546666</v>
      </c>
      <c r="M84" s="12"/>
      <c r="N84" s="12"/>
      <c r="O84" s="12"/>
      <c r="P84" s="12"/>
    </row>
    <row r="85" spans="1:16" x14ac:dyDescent="0.3">
      <c r="A85" s="11">
        <v>79</v>
      </c>
      <c r="B85" s="12" t="s">
        <v>295</v>
      </c>
      <c r="C85" s="12" t="s">
        <v>601</v>
      </c>
      <c r="D85" s="12" t="s">
        <v>156</v>
      </c>
      <c r="E85" s="12">
        <v>1</v>
      </c>
      <c r="F85" s="12" t="s">
        <v>101</v>
      </c>
      <c r="G85" s="12" t="s">
        <v>757</v>
      </c>
      <c r="H85" s="12" t="s">
        <v>774</v>
      </c>
      <c r="I85" s="14">
        <v>18</v>
      </c>
      <c r="J85" s="13">
        <f>IF(B85="","",SUMIF(Bieu04A_12thang!$B:$B,B85,Bieu04A_12thang!$O:$O))</f>
        <v>9536</v>
      </c>
      <c r="K85" s="23"/>
      <c r="L85" s="13">
        <f>IF(B85="","",SUMIF(Bieu04A_12thang!$B:$B,B85,Bieu04A_12thang!$AB:$AB))</f>
        <v>19758592</v>
      </c>
      <c r="M85" s="12"/>
      <c r="N85" s="12"/>
      <c r="O85" s="12"/>
      <c r="P85" s="12"/>
    </row>
    <row r="86" spans="1:16" x14ac:dyDescent="0.3">
      <c r="A86" s="11">
        <v>80</v>
      </c>
      <c r="B86" s="12" t="s">
        <v>296</v>
      </c>
      <c r="C86" s="12" t="s">
        <v>602</v>
      </c>
      <c r="D86" s="12" t="s">
        <v>156</v>
      </c>
      <c r="E86" s="12">
        <v>1</v>
      </c>
      <c r="F86" s="12" t="s">
        <v>101</v>
      </c>
      <c r="G86" s="12" t="s">
        <v>757</v>
      </c>
      <c r="H86" s="12" t="s">
        <v>774</v>
      </c>
      <c r="I86" s="14">
        <v>18</v>
      </c>
      <c r="J86" s="13">
        <f>IF(B86="","",SUMIF(Bieu04A_12thang!$B:$B,B86,Bieu04A_12thang!$O:$O))</f>
        <v>4593</v>
      </c>
      <c r="K86" s="23"/>
      <c r="L86" s="13">
        <f>IF(B86="","",SUMIF(Bieu04A_12thang!$B:$B,B86,Bieu04A_12thang!$AB:$AB))</f>
        <v>9516696</v>
      </c>
      <c r="M86" s="12"/>
      <c r="N86" s="12"/>
      <c r="O86" s="12"/>
      <c r="P86" s="12"/>
    </row>
    <row r="87" spans="1:16" x14ac:dyDescent="0.3">
      <c r="A87" s="11">
        <v>81</v>
      </c>
      <c r="B87" s="12" t="s">
        <v>297</v>
      </c>
      <c r="C87" s="12" t="s">
        <v>603</v>
      </c>
      <c r="D87" s="12" t="s">
        <v>156</v>
      </c>
      <c r="E87" s="12">
        <v>1</v>
      </c>
      <c r="F87" s="12" t="s">
        <v>101</v>
      </c>
      <c r="G87" s="12" t="s">
        <v>757</v>
      </c>
      <c r="H87" s="12" t="s">
        <v>774</v>
      </c>
      <c r="I87" s="14">
        <v>18</v>
      </c>
      <c r="J87" s="13">
        <f>IF(B87="","",SUMIF(Bieu04A_12thang!$B:$B,B87,Bieu04A_12thang!$O:$O))</f>
        <v>8097</v>
      </c>
      <c r="K87" s="23"/>
      <c r="L87" s="13">
        <f>IF(B87="","",SUMIF(Bieu04A_12thang!$B:$B,B87,Bieu04A_12thang!$AB:$AB))</f>
        <v>16776984</v>
      </c>
      <c r="M87" s="12"/>
      <c r="N87" s="12"/>
      <c r="O87" s="12"/>
      <c r="P87" s="12"/>
    </row>
    <row r="88" spans="1:16" x14ac:dyDescent="0.3">
      <c r="A88" s="11">
        <v>82</v>
      </c>
      <c r="B88" s="12" t="s">
        <v>298</v>
      </c>
      <c r="C88" s="12" t="s">
        <v>604</v>
      </c>
      <c r="D88" s="12" t="s">
        <v>156</v>
      </c>
      <c r="E88" s="12">
        <v>1</v>
      </c>
      <c r="F88" s="12" t="s">
        <v>101</v>
      </c>
      <c r="G88" s="12" t="s">
        <v>757</v>
      </c>
      <c r="H88" s="12" t="s">
        <v>774</v>
      </c>
      <c r="I88" s="14">
        <v>10</v>
      </c>
      <c r="J88" s="13">
        <f>IF(B88="","",SUMIF(Bieu04A_12thang!$B:$B,B88,Bieu04A_12thang!$O:$O))</f>
        <v>6753</v>
      </c>
      <c r="K88" s="23"/>
      <c r="L88" s="13">
        <f>IF(B88="","",SUMIF(Bieu04A_12thang!$B:$B,B88,Bieu04A_12thang!$AB:$AB))</f>
        <v>13992216</v>
      </c>
      <c r="M88" s="12"/>
      <c r="N88" s="12"/>
      <c r="O88" s="12"/>
      <c r="P88" s="12"/>
    </row>
    <row r="89" spans="1:16" x14ac:dyDescent="0.3">
      <c r="A89" s="11">
        <v>83</v>
      </c>
      <c r="B89" s="12" t="s">
        <v>310</v>
      </c>
      <c r="C89" s="12" t="s">
        <v>615</v>
      </c>
      <c r="D89" s="12" t="s">
        <v>156</v>
      </c>
      <c r="E89" s="12">
        <v>1</v>
      </c>
      <c r="F89" s="12" t="s">
        <v>101</v>
      </c>
      <c r="G89" s="12" t="s">
        <v>757</v>
      </c>
      <c r="H89" s="12" t="s">
        <v>774</v>
      </c>
      <c r="I89" s="14">
        <v>18</v>
      </c>
      <c r="J89" s="13">
        <f>IF(B89="","",SUMIF(Bieu04A_12thang!$B:$B,B89,Bieu04A_12thang!$O:$O))</f>
        <v>6753</v>
      </c>
      <c r="K89" s="23"/>
      <c r="L89" s="13">
        <f>IF(B89="","",SUMIF(Bieu04A_12thang!$B:$B,B89,Bieu04A_12thang!$AB:$AB))</f>
        <v>13992216</v>
      </c>
      <c r="M89" s="12"/>
      <c r="N89" s="12"/>
      <c r="O89" s="12"/>
      <c r="P89" s="12"/>
    </row>
    <row r="90" spans="1:16" x14ac:dyDescent="0.3">
      <c r="A90" s="11">
        <v>84</v>
      </c>
      <c r="B90" s="12" t="s">
        <v>311</v>
      </c>
      <c r="C90" s="12" t="s">
        <v>616</v>
      </c>
      <c r="D90" s="12" t="s">
        <v>156</v>
      </c>
      <c r="E90" s="12">
        <v>2</v>
      </c>
      <c r="F90" s="12" t="s">
        <v>101</v>
      </c>
      <c r="G90" s="12" t="s">
        <v>757</v>
      </c>
      <c r="H90" s="12" t="s">
        <v>774</v>
      </c>
      <c r="I90" s="14">
        <v>18</v>
      </c>
      <c r="J90" s="13">
        <f>IF(B90="","",SUMIF(Bieu04A_12thang!$B:$B,B90,Bieu04A_12thang!$O:$O))</f>
        <v>62355</v>
      </c>
      <c r="K90" s="23"/>
      <c r="L90" s="13">
        <f>IF(B90="","",SUMIF(Bieu04A_12thang!$B:$B,B90,Bieu04A_12thang!$AB:$AB))</f>
        <v>138802230</v>
      </c>
      <c r="M90" s="12"/>
      <c r="N90" s="12"/>
      <c r="O90" s="12"/>
      <c r="P90" s="12"/>
    </row>
    <row r="91" spans="1:16" x14ac:dyDescent="0.3">
      <c r="A91" s="11">
        <v>85</v>
      </c>
      <c r="B91" s="12" t="s">
        <v>312</v>
      </c>
      <c r="C91" s="12" t="s">
        <v>616</v>
      </c>
      <c r="D91" s="12" t="s">
        <v>156</v>
      </c>
      <c r="E91" s="12">
        <v>2</v>
      </c>
      <c r="F91" s="12" t="s">
        <v>101</v>
      </c>
      <c r="G91" s="12" t="s">
        <v>758</v>
      </c>
      <c r="H91" s="12" t="s">
        <v>774</v>
      </c>
      <c r="I91" s="14">
        <v>127</v>
      </c>
      <c r="J91" s="13">
        <f>IF(B91="","",SUMIF(Bieu04A_12thang!$B:$B,B91,Bieu04A_12thang!$O:$O))</f>
        <v>22019</v>
      </c>
      <c r="K91" s="23"/>
      <c r="L91" s="13">
        <f>IF(B91="","",SUMIF(Bieu04A_12thang!$B:$B,B91,Bieu04A_12thang!$AB:$AB))</f>
        <v>49014294</v>
      </c>
      <c r="M91" s="12"/>
      <c r="N91" s="12"/>
      <c r="O91" s="12"/>
      <c r="P91" s="12"/>
    </row>
    <row r="92" spans="1:16" x14ac:dyDescent="0.3">
      <c r="A92" s="11">
        <v>86</v>
      </c>
      <c r="B92" s="12" t="s">
        <v>313</v>
      </c>
      <c r="C92" s="12" t="s">
        <v>616</v>
      </c>
      <c r="D92" s="12" t="s">
        <v>156</v>
      </c>
      <c r="E92" s="12">
        <v>2</v>
      </c>
      <c r="F92" s="12" t="s">
        <v>101</v>
      </c>
      <c r="G92" s="12" t="s">
        <v>758</v>
      </c>
      <c r="H92" s="12" t="s">
        <v>774</v>
      </c>
      <c r="I92" s="14">
        <v>127</v>
      </c>
      <c r="J92" s="13">
        <f>IF(B92="","",SUMIF(Bieu04A_12thang!$B:$B,B92,Bieu04A_12thang!$O:$O))</f>
        <v>5774</v>
      </c>
      <c r="K92" s="23"/>
      <c r="L92" s="13">
        <f>IF(B92="","",SUMIF(Bieu04A_12thang!$B:$B,B92,Bieu04A_12thang!$AB:$AB))</f>
        <v>12852924</v>
      </c>
      <c r="M92" s="12"/>
      <c r="N92" s="12"/>
      <c r="O92" s="12"/>
      <c r="P92" s="12"/>
    </row>
    <row r="93" spans="1:16" x14ac:dyDescent="0.3">
      <c r="A93" s="11">
        <v>87</v>
      </c>
      <c r="B93" s="12" t="s">
        <v>314</v>
      </c>
      <c r="C93" s="12" t="s">
        <v>616</v>
      </c>
      <c r="D93" s="12" t="s">
        <v>156</v>
      </c>
      <c r="E93" s="12">
        <v>2</v>
      </c>
      <c r="F93" s="12" t="s">
        <v>101</v>
      </c>
      <c r="G93" s="12" t="s">
        <v>757</v>
      </c>
      <c r="H93" s="12" t="s">
        <v>774</v>
      </c>
      <c r="I93" s="14">
        <v>18</v>
      </c>
      <c r="J93" s="13">
        <f>IF(B93="","",SUMIF(Bieu04A_12thang!$B:$B,B93,Bieu04A_12thang!$O:$O))</f>
        <v>0</v>
      </c>
      <c r="K93" s="23"/>
      <c r="L93" s="13">
        <f>IF(B93="","",SUMIF(Bieu04A_12thang!$B:$B,B93,Bieu04A_12thang!$AB:$AB))</f>
        <v>0</v>
      </c>
      <c r="M93" s="12"/>
      <c r="N93" s="12"/>
      <c r="O93" s="12"/>
      <c r="P93" s="12"/>
    </row>
    <row r="94" spans="1:16" x14ac:dyDescent="0.3">
      <c r="A94" s="11">
        <v>88</v>
      </c>
      <c r="B94" s="12" t="s">
        <v>316</v>
      </c>
      <c r="C94" s="12" t="s">
        <v>618</v>
      </c>
      <c r="D94" s="12" t="s">
        <v>156</v>
      </c>
      <c r="E94" s="12">
        <v>2</v>
      </c>
      <c r="F94" s="12" t="s">
        <v>101</v>
      </c>
      <c r="G94" s="12" t="s">
        <v>758</v>
      </c>
      <c r="H94" s="12" t="s">
        <v>775</v>
      </c>
      <c r="I94" s="14">
        <v>127</v>
      </c>
      <c r="J94" s="13">
        <f>IF(B94="","",SUMIF(Bieu04A_12thang!$B:$B,B94,Bieu04A_12thang!$O:$O))</f>
        <v>147703</v>
      </c>
      <c r="K94" s="23"/>
      <c r="L94" s="13">
        <f>IF(B94="","",SUMIF(Bieu04A_12thang!$B:$B,B94,Bieu04A_12thang!$AB:$AB))</f>
        <v>315789014</v>
      </c>
      <c r="M94" s="12"/>
      <c r="N94" s="12"/>
      <c r="O94" s="12"/>
      <c r="P94" s="12"/>
    </row>
    <row r="95" spans="1:16" x14ac:dyDescent="0.3">
      <c r="A95" s="11">
        <v>89</v>
      </c>
      <c r="B95" s="12" t="s">
        <v>317</v>
      </c>
      <c r="C95" s="12" t="s">
        <v>619</v>
      </c>
      <c r="D95" s="12" t="s">
        <v>156</v>
      </c>
      <c r="E95" s="12">
        <v>2</v>
      </c>
      <c r="F95" s="12" t="s">
        <v>101</v>
      </c>
      <c r="G95" s="12" t="s">
        <v>757</v>
      </c>
      <c r="H95" s="12" t="s">
        <v>774</v>
      </c>
      <c r="I95" s="14">
        <v>18</v>
      </c>
      <c r="J95" s="13">
        <f>IF(B95="","",SUMIF(Bieu04A_12thang!$B:$B,B95,Bieu04A_12thang!$O:$O))</f>
        <v>13091</v>
      </c>
      <c r="K95" s="23"/>
      <c r="L95" s="13">
        <f>IF(B95="","",SUMIF(Bieu04A_12thang!$B:$B,B95,Bieu04A_12thang!$AB:$AB))</f>
        <v>29140566</v>
      </c>
      <c r="M95" s="12"/>
      <c r="N95" s="12"/>
      <c r="O95" s="12"/>
      <c r="P95" s="12"/>
    </row>
    <row r="96" spans="1:16" x14ac:dyDescent="0.3">
      <c r="A96" s="11">
        <v>90</v>
      </c>
      <c r="B96" s="12" t="s">
        <v>318</v>
      </c>
      <c r="C96" s="12" t="s">
        <v>620</v>
      </c>
      <c r="D96" s="12" t="s">
        <v>156</v>
      </c>
      <c r="E96" s="12">
        <v>2</v>
      </c>
      <c r="F96" s="12" t="s">
        <v>101</v>
      </c>
      <c r="G96" s="12" t="s">
        <v>757</v>
      </c>
      <c r="H96" s="12" t="s">
        <v>774</v>
      </c>
      <c r="I96" s="14">
        <v>18</v>
      </c>
      <c r="J96" s="13">
        <f>IF(B96="","",SUMIF(Bieu04A_12thang!$B:$B,B96,Bieu04A_12thang!$O:$O))</f>
        <v>1122</v>
      </c>
      <c r="K96" s="23"/>
      <c r="L96" s="13">
        <f>IF(B96="","",SUMIF(Bieu04A_12thang!$B:$B,B96,Bieu04A_12thang!$AB:$AB))</f>
        <v>2497572</v>
      </c>
      <c r="M96" s="12"/>
      <c r="N96" s="12"/>
      <c r="O96" s="12"/>
      <c r="P96" s="12"/>
    </row>
    <row r="97" spans="1:16" x14ac:dyDescent="0.3">
      <c r="A97" s="11">
        <v>91</v>
      </c>
      <c r="B97" s="12" t="s">
        <v>319</v>
      </c>
      <c r="C97" s="12" t="s">
        <v>620</v>
      </c>
      <c r="D97" s="12" t="s">
        <v>156</v>
      </c>
      <c r="E97" s="12">
        <v>2</v>
      </c>
      <c r="F97" s="12" t="s">
        <v>101</v>
      </c>
      <c r="G97" s="12" t="s">
        <v>757</v>
      </c>
      <c r="H97" s="12" t="s">
        <v>774</v>
      </c>
      <c r="I97" s="14">
        <v>10</v>
      </c>
      <c r="J97" s="13">
        <f>IF(B97="","",SUMIF(Bieu04A_12thang!$B:$B,B97,Bieu04A_12thang!$O:$O))</f>
        <v>14068</v>
      </c>
      <c r="K97" s="23"/>
      <c r="L97" s="13">
        <f>IF(B97="","",SUMIF(Bieu04A_12thang!$B:$B,B97,Bieu04A_12thang!$AB:$AB))</f>
        <v>31315368</v>
      </c>
      <c r="M97" s="12"/>
      <c r="N97" s="12"/>
      <c r="O97" s="12"/>
      <c r="P97" s="12"/>
    </row>
    <row r="98" spans="1:16" x14ac:dyDescent="0.3">
      <c r="A98" s="11">
        <v>92</v>
      </c>
      <c r="B98" s="12" t="s">
        <v>320</v>
      </c>
      <c r="C98" s="12" t="s">
        <v>620</v>
      </c>
      <c r="D98" s="12" t="s">
        <v>156</v>
      </c>
      <c r="E98" s="12">
        <v>2</v>
      </c>
      <c r="F98" s="12" t="s">
        <v>101</v>
      </c>
      <c r="G98" s="12" t="s">
        <v>757</v>
      </c>
      <c r="H98" s="12" t="s">
        <v>774</v>
      </c>
      <c r="I98" s="14">
        <v>18</v>
      </c>
      <c r="J98" s="13">
        <f>IF(B98="","",SUMIF(Bieu04A_12thang!$B:$B,B98,Bieu04A_12thang!$O:$O))</f>
        <v>17091</v>
      </c>
      <c r="K98" s="23"/>
      <c r="L98" s="13">
        <f>IF(B98="","",SUMIF(Bieu04A_12thang!$B:$B,B98,Bieu04A_12thang!$AB:$AB))</f>
        <v>38044566</v>
      </c>
      <c r="M98" s="12"/>
      <c r="N98" s="12"/>
      <c r="O98" s="12"/>
      <c r="P98" s="12"/>
    </row>
    <row r="99" spans="1:16" x14ac:dyDescent="0.3">
      <c r="A99" s="11">
        <v>93</v>
      </c>
      <c r="B99" s="12" t="s">
        <v>321</v>
      </c>
      <c r="C99" s="12" t="s">
        <v>620</v>
      </c>
      <c r="D99" s="12" t="s">
        <v>156</v>
      </c>
      <c r="E99" s="12">
        <v>2</v>
      </c>
      <c r="F99" s="12" t="s">
        <v>101</v>
      </c>
      <c r="G99" s="12" t="s">
        <v>758</v>
      </c>
      <c r="H99" s="12" t="s">
        <v>774</v>
      </c>
      <c r="I99" s="14">
        <v>127</v>
      </c>
      <c r="J99" s="13">
        <f>IF(B99="","",SUMIF(Bieu04A_12thang!$B:$B,B99,Bieu04A_12thang!$O:$O))</f>
        <v>17062</v>
      </c>
      <c r="K99" s="23"/>
      <c r="L99" s="13">
        <f>IF(B99="","",SUMIF(Bieu04A_12thang!$B:$B,B99,Bieu04A_12thang!$AB:$AB))</f>
        <v>37980012</v>
      </c>
      <c r="M99" s="12"/>
      <c r="N99" s="12"/>
      <c r="O99" s="12"/>
      <c r="P99" s="12"/>
    </row>
    <row r="100" spans="1:16" x14ac:dyDescent="0.3">
      <c r="A100" s="11">
        <v>94</v>
      </c>
      <c r="B100" s="12" t="s">
        <v>322</v>
      </c>
      <c r="C100" s="12" t="s">
        <v>620</v>
      </c>
      <c r="D100" s="12" t="s">
        <v>156</v>
      </c>
      <c r="E100" s="12">
        <v>2</v>
      </c>
      <c r="F100" s="12" t="s">
        <v>101</v>
      </c>
      <c r="G100" s="12" t="s">
        <v>758</v>
      </c>
      <c r="H100" s="12" t="s">
        <v>774</v>
      </c>
      <c r="I100" s="14">
        <v>127</v>
      </c>
      <c r="J100" s="13">
        <f>IF(B100="","",SUMIF(Bieu04A_12thang!$B:$B,B100,Bieu04A_12thang!$O:$O))</f>
        <v>20069</v>
      </c>
      <c r="K100" s="23"/>
      <c r="L100" s="13">
        <f>IF(B100="","",SUMIF(Bieu04A_12thang!$B:$B,B100,Bieu04A_12thang!$AB:$AB))</f>
        <v>44673594</v>
      </c>
      <c r="M100" s="12"/>
      <c r="N100" s="12"/>
      <c r="O100" s="12"/>
      <c r="P100" s="12"/>
    </row>
    <row r="101" spans="1:16" x14ac:dyDescent="0.3">
      <c r="A101" s="11">
        <v>95</v>
      </c>
      <c r="B101" s="12" t="s">
        <v>323</v>
      </c>
      <c r="C101" s="12" t="s">
        <v>620</v>
      </c>
      <c r="D101" s="12" t="s">
        <v>156</v>
      </c>
      <c r="E101" s="12">
        <v>2</v>
      </c>
      <c r="F101" s="12" t="s">
        <v>101</v>
      </c>
      <c r="G101" s="12" t="s">
        <v>757</v>
      </c>
      <c r="H101" s="12" t="s">
        <v>774</v>
      </c>
      <c r="I101" s="14">
        <v>10</v>
      </c>
      <c r="J101" s="13">
        <f>IF(B101="","",SUMIF(Bieu04A_12thang!$B:$B,B101,Bieu04A_12thang!$O:$O))</f>
        <v>8326</v>
      </c>
      <c r="K101" s="23"/>
      <c r="L101" s="13">
        <f>IF(B101="","",SUMIF(Bieu04A_12thang!$B:$B,B101,Bieu04A_12thang!$AB:$AB))</f>
        <v>18533676</v>
      </c>
      <c r="M101" s="12"/>
      <c r="N101" s="12"/>
      <c r="O101" s="12"/>
      <c r="P101" s="12"/>
    </row>
    <row r="102" spans="1:16" x14ac:dyDescent="0.3">
      <c r="A102" s="11">
        <v>96</v>
      </c>
      <c r="B102" s="12" t="s">
        <v>324</v>
      </c>
      <c r="C102" s="12" t="s">
        <v>620</v>
      </c>
      <c r="D102" s="12" t="s">
        <v>156</v>
      </c>
      <c r="E102" s="12">
        <v>2</v>
      </c>
      <c r="F102" s="12" t="s">
        <v>101</v>
      </c>
      <c r="G102" s="12" t="s">
        <v>757</v>
      </c>
      <c r="H102" s="12" t="s">
        <v>774</v>
      </c>
      <c r="I102" s="14">
        <v>10</v>
      </c>
      <c r="J102" s="13">
        <f>IF(B102="","",SUMIF(Bieu04A_12thang!$B:$B,B102,Bieu04A_12thang!$O:$O))</f>
        <v>1035</v>
      </c>
      <c r="K102" s="23"/>
      <c r="L102" s="13">
        <f>IF(B102="","",SUMIF(Bieu04A_12thang!$B:$B,B102,Bieu04A_12thang!$AB:$AB))</f>
        <v>2303910</v>
      </c>
      <c r="M102" s="12"/>
      <c r="N102" s="12"/>
      <c r="O102" s="12"/>
      <c r="P102" s="12"/>
    </row>
    <row r="103" spans="1:16" x14ac:dyDescent="0.3">
      <c r="A103" s="11">
        <v>97</v>
      </c>
      <c r="B103" s="12" t="s">
        <v>325</v>
      </c>
      <c r="C103" s="12" t="s">
        <v>620</v>
      </c>
      <c r="D103" s="12" t="s">
        <v>156</v>
      </c>
      <c r="E103" s="12">
        <v>2</v>
      </c>
      <c r="F103" s="12" t="s">
        <v>101</v>
      </c>
      <c r="G103" s="12" t="s">
        <v>757</v>
      </c>
      <c r="H103" s="12" t="s">
        <v>774</v>
      </c>
      <c r="I103" s="14">
        <v>10</v>
      </c>
      <c r="J103" s="13">
        <f>IF(B103="","",SUMIF(Bieu04A_12thang!$B:$B,B103,Bieu04A_12thang!$O:$O))</f>
        <v>1194</v>
      </c>
      <c r="K103" s="23"/>
      <c r="L103" s="13">
        <f>IF(B103="","",SUMIF(Bieu04A_12thang!$B:$B,B103,Bieu04A_12thang!$AB:$AB))</f>
        <v>2657844</v>
      </c>
      <c r="M103" s="12"/>
      <c r="N103" s="12"/>
      <c r="O103" s="12"/>
      <c r="P103" s="12"/>
    </row>
    <row r="104" spans="1:16" x14ac:dyDescent="0.3">
      <c r="A104" s="11">
        <v>98</v>
      </c>
      <c r="B104" s="12" t="s">
        <v>326</v>
      </c>
      <c r="C104" s="12" t="s">
        <v>620</v>
      </c>
      <c r="D104" s="12" t="s">
        <v>156</v>
      </c>
      <c r="E104" s="12">
        <v>2</v>
      </c>
      <c r="F104" s="12" t="s">
        <v>101</v>
      </c>
      <c r="G104" s="12" t="s">
        <v>757</v>
      </c>
      <c r="H104" s="12" t="s">
        <v>774</v>
      </c>
      <c r="I104" s="14">
        <v>10</v>
      </c>
      <c r="J104" s="13">
        <f>IF(B104="","",SUMIF(Bieu04A_12thang!$B:$B,B104,Bieu04A_12thang!$O:$O))</f>
        <v>8037</v>
      </c>
      <c r="K104" s="23"/>
      <c r="L104" s="13">
        <f>IF(B104="","",SUMIF(Bieu04A_12thang!$B:$B,B104,Bieu04A_12thang!$AB:$AB))</f>
        <v>17890362</v>
      </c>
      <c r="M104" s="12"/>
      <c r="N104" s="12"/>
      <c r="O104" s="12"/>
      <c r="P104" s="12"/>
    </row>
    <row r="105" spans="1:16" x14ac:dyDescent="0.3">
      <c r="A105" s="11">
        <v>99</v>
      </c>
      <c r="B105" s="12" t="s">
        <v>342</v>
      </c>
      <c r="C105" s="12" t="s">
        <v>625</v>
      </c>
      <c r="D105" s="12" t="s">
        <v>156</v>
      </c>
      <c r="E105" s="12">
        <v>2</v>
      </c>
      <c r="F105" s="12" t="s">
        <v>101</v>
      </c>
      <c r="G105" s="12" t="s">
        <v>757</v>
      </c>
      <c r="H105" s="12" t="s">
        <v>774</v>
      </c>
      <c r="I105" s="14">
        <v>18</v>
      </c>
      <c r="J105" s="13">
        <f>IF(B105="","",SUMIF(Bieu04A_12thang!$B:$B,B105,Bieu04A_12thang!$O:$O))</f>
        <v>11070</v>
      </c>
      <c r="K105" s="23"/>
      <c r="L105" s="13">
        <f>IF(B105="","",SUMIF(Bieu04A_12thang!$B:$B,B105,Bieu04A_12thang!$AB:$AB))</f>
        <v>24641820</v>
      </c>
      <c r="M105" s="12"/>
      <c r="N105" s="12"/>
      <c r="O105" s="12"/>
      <c r="P105" s="12"/>
    </row>
    <row r="106" spans="1:16" x14ac:dyDescent="0.3">
      <c r="A106" s="11">
        <v>100</v>
      </c>
      <c r="B106" s="12" t="s">
        <v>343</v>
      </c>
      <c r="C106" s="12" t="s">
        <v>625</v>
      </c>
      <c r="D106" s="12" t="s">
        <v>156</v>
      </c>
      <c r="E106" s="12">
        <v>2</v>
      </c>
      <c r="F106" s="12" t="s">
        <v>101</v>
      </c>
      <c r="G106" s="12" t="s">
        <v>757</v>
      </c>
      <c r="H106" s="12" t="s">
        <v>774</v>
      </c>
      <c r="I106" s="14">
        <v>10</v>
      </c>
      <c r="J106" s="13">
        <f>IF(B106="","",SUMIF(Bieu04A_12thang!$B:$B,B106,Bieu04A_12thang!$O:$O))</f>
        <v>11209</v>
      </c>
      <c r="K106" s="23"/>
      <c r="L106" s="13">
        <f>IF(B106="","",SUMIF(Bieu04A_12thang!$B:$B,B106,Bieu04A_12thang!$AB:$AB))</f>
        <v>23225048</v>
      </c>
      <c r="M106" s="12"/>
      <c r="N106" s="12"/>
      <c r="O106" s="12"/>
      <c r="P106" s="12"/>
    </row>
    <row r="107" spans="1:16" x14ac:dyDescent="0.3">
      <c r="A107" s="11">
        <v>101</v>
      </c>
      <c r="B107" s="12" t="s">
        <v>344</v>
      </c>
      <c r="C107" s="12" t="s">
        <v>625</v>
      </c>
      <c r="D107" s="12" t="s">
        <v>156</v>
      </c>
      <c r="E107" s="12">
        <v>2</v>
      </c>
      <c r="F107" s="12" t="s">
        <v>101</v>
      </c>
      <c r="G107" s="12" t="s">
        <v>757</v>
      </c>
      <c r="H107" s="12" t="s">
        <v>774</v>
      </c>
      <c r="I107" s="14">
        <v>18</v>
      </c>
      <c r="J107" s="13">
        <f>IF(B107="","",SUMIF(Bieu04A_12thang!$B:$B,B107,Bieu04A_12thang!$O:$O))</f>
        <v>561</v>
      </c>
      <c r="K107" s="23"/>
      <c r="L107" s="13">
        <f>IF(B107="","",SUMIF(Bieu04A_12thang!$B:$B,B107,Bieu04A_12thang!$AB:$AB))</f>
        <v>1248786</v>
      </c>
      <c r="M107" s="12"/>
      <c r="N107" s="12"/>
      <c r="O107" s="12"/>
      <c r="P107" s="12"/>
    </row>
    <row r="108" spans="1:16" x14ac:dyDescent="0.3">
      <c r="A108" s="11">
        <v>102</v>
      </c>
      <c r="B108" s="12" t="s">
        <v>345</v>
      </c>
      <c r="C108" s="12" t="s">
        <v>626</v>
      </c>
      <c r="D108" s="12" t="s">
        <v>156</v>
      </c>
      <c r="E108" s="12">
        <v>2</v>
      </c>
      <c r="F108" s="12" t="s">
        <v>756</v>
      </c>
      <c r="G108" s="12" t="s">
        <v>757</v>
      </c>
      <c r="H108" s="12" t="s">
        <v>774</v>
      </c>
      <c r="I108" s="14">
        <v>10</v>
      </c>
      <c r="J108" s="13">
        <f>IF(B108="","",SUMIF(Bieu04A_12thang!$B:$B,B108,Bieu04A_12thang!$O:$O))</f>
        <v>2714</v>
      </c>
      <c r="K108" s="23"/>
      <c r="L108" s="13">
        <f>IF(B108="","",SUMIF(Bieu04A_12thang!$B:$B,B108,Bieu04A_12thang!$AB:$AB))</f>
        <v>6041364</v>
      </c>
      <c r="M108" s="12"/>
      <c r="N108" s="12"/>
      <c r="O108" s="12"/>
      <c r="P108" s="12"/>
    </row>
    <row r="109" spans="1:16" x14ac:dyDescent="0.3">
      <c r="A109" s="11">
        <v>103</v>
      </c>
      <c r="B109" s="12" t="s">
        <v>346</v>
      </c>
      <c r="C109" s="12" t="s">
        <v>627</v>
      </c>
      <c r="D109" s="12" t="s">
        <v>156</v>
      </c>
      <c r="E109" s="12">
        <v>2</v>
      </c>
      <c r="F109" s="12" t="s">
        <v>101</v>
      </c>
      <c r="G109" s="12" t="s">
        <v>757</v>
      </c>
      <c r="H109" s="12" t="s">
        <v>774</v>
      </c>
      <c r="I109" s="14">
        <v>18</v>
      </c>
      <c r="J109" s="13">
        <f>IF(B109="","",SUMIF(Bieu04A_12thang!$B:$B,B109,Bieu04A_12thang!$O:$O))</f>
        <v>16523</v>
      </c>
      <c r="K109" s="23"/>
      <c r="L109" s="13">
        <f>IF(B109="","",SUMIF(Bieu04A_12thang!$B:$B,B109,Bieu04A_12thang!$AB:$AB))</f>
        <v>36780198</v>
      </c>
      <c r="M109" s="12" t="s">
        <v>102</v>
      </c>
      <c r="N109" s="12"/>
      <c r="O109" s="12"/>
      <c r="P109" s="12" t="s">
        <v>50</v>
      </c>
    </row>
    <row r="110" spans="1:16" x14ac:dyDescent="0.3">
      <c r="A110" s="11">
        <v>104</v>
      </c>
      <c r="B110" s="12" t="s">
        <v>348</v>
      </c>
      <c r="C110" s="12" t="s">
        <v>629</v>
      </c>
      <c r="D110" s="12" t="s">
        <v>156</v>
      </c>
      <c r="E110" s="12">
        <v>2</v>
      </c>
      <c r="F110" s="12" t="s">
        <v>101</v>
      </c>
      <c r="G110" s="12" t="s">
        <v>757</v>
      </c>
      <c r="H110" s="12" t="s">
        <v>774</v>
      </c>
      <c r="I110" s="14">
        <v>18</v>
      </c>
      <c r="J110" s="13">
        <f>IF(B110="","",SUMIF(Bieu04A_12thang!$B:$B,B110,Bieu04A_12thang!$O:$O))</f>
        <v>68254</v>
      </c>
      <c r="K110" s="23"/>
      <c r="L110" s="13">
        <f>IF(B110="","",SUMIF(Bieu04A_12thang!$B:$B,B110,Bieu04A_12thang!$AB:$AB))</f>
        <v>151933404</v>
      </c>
      <c r="M110" s="12"/>
      <c r="N110" s="12"/>
      <c r="O110" s="12"/>
      <c r="P110" s="12"/>
    </row>
    <row r="111" spans="1:16" x14ac:dyDescent="0.3">
      <c r="A111" s="11">
        <v>105</v>
      </c>
      <c r="B111" s="12" t="s">
        <v>350</v>
      </c>
      <c r="C111" s="12" t="s">
        <v>631</v>
      </c>
      <c r="D111" s="12" t="s">
        <v>156</v>
      </c>
      <c r="E111" s="12">
        <v>1</v>
      </c>
      <c r="F111" s="12" t="s">
        <v>101</v>
      </c>
      <c r="G111" s="12" t="s">
        <v>758</v>
      </c>
      <c r="H111" s="12" t="s">
        <v>774</v>
      </c>
      <c r="I111" s="14">
        <v>127</v>
      </c>
      <c r="J111" s="13">
        <f>IF(B111="","",SUMIF(Bieu04A_12thang!$B:$B,B111,Bieu04A_12thang!$O:$O))</f>
        <v>14181</v>
      </c>
      <c r="K111" s="23"/>
      <c r="L111" s="13">
        <f>IF(B111="","",SUMIF(Bieu04A_12thang!$B:$B,B111,Bieu04A_12thang!$AB:$AB))</f>
        <v>29383032</v>
      </c>
      <c r="M111" s="12"/>
      <c r="N111" s="12"/>
      <c r="O111" s="12"/>
      <c r="P111" s="12"/>
    </row>
    <row r="112" spans="1:16" x14ac:dyDescent="0.3">
      <c r="A112" s="11">
        <v>106</v>
      </c>
      <c r="B112" s="12" t="s">
        <v>351</v>
      </c>
      <c r="C112" s="12" t="s">
        <v>631</v>
      </c>
      <c r="D112" s="12" t="s">
        <v>156</v>
      </c>
      <c r="E112" s="12">
        <v>1</v>
      </c>
      <c r="F112" s="12" t="s">
        <v>101</v>
      </c>
      <c r="G112" s="12" t="s">
        <v>758</v>
      </c>
      <c r="H112" s="12" t="s">
        <v>774</v>
      </c>
      <c r="I112" s="14">
        <v>127</v>
      </c>
      <c r="J112" s="13">
        <f>IF(B112="","",SUMIF(Bieu04A_12thang!$B:$B,B112,Bieu04A_12thang!$O:$O))</f>
        <v>666451</v>
      </c>
      <c r="K112" s="23"/>
      <c r="L112" s="13">
        <f>IF(B112="","",SUMIF(Bieu04A_12thang!$B:$B,B112,Bieu04A_12thang!$AB:$AB))</f>
        <v>1380886472</v>
      </c>
      <c r="M112" s="12"/>
      <c r="N112" s="12"/>
      <c r="O112" s="12"/>
      <c r="P112" s="12"/>
    </row>
    <row r="113" spans="1:16" x14ac:dyDescent="0.3">
      <c r="A113" s="11">
        <v>107</v>
      </c>
      <c r="B113" s="12" t="s">
        <v>352</v>
      </c>
      <c r="C113" s="12" t="s">
        <v>632</v>
      </c>
      <c r="D113" s="12" t="s">
        <v>156</v>
      </c>
      <c r="E113" s="12">
        <v>1</v>
      </c>
      <c r="F113" s="12" t="s">
        <v>101</v>
      </c>
      <c r="G113" s="12" t="s">
        <v>758</v>
      </c>
      <c r="H113" s="12" t="s">
        <v>774</v>
      </c>
      <c r="I113" s="14">
        <v>127</v>
      </c>
      <c r="J113" s="13">
        <f>IF(B113="","",SUMIF(Bieu04A_12thang!$B:$B,B113,Bieu04A_12thang!$O:$O))</f>
        <v>40690</v>
      </c>
      <c r="K113" s="23"/>
      <c r="L113" s="13">
        <f>IF(B113="","",SUMIF(Bieu04A_12thang!$B:$B,B113,Bieu04A_12thang!$AB:$AB))</f>
        <v>84309680</v>
      </c>
      <c r="M113" s="12"/>
      <c r="N113" s="12"/>
      <c r="O113" s="12"/>
      <c r="P113" s="12"/>
    </row>
    <row r="114" spans="1:16" x14ac:dyDescent="0.3">
      <c r="A114" s="11">
        <v>108</v>
      </c>
      <c r="B114" s="12" t="s">
        <v>360</v>
      </c>
      <c r="C114" s="12" t="s">
        <v>639</v>
      </c>
      <c r="D114" s="12" t="s">
        <v>156</v>
      </c>
      <c r="E114" s="12">
        <v>1</v>
      </c>
      <c r="F114" s="12" t="s">
        <v>101</v>
      </c>
      <c r="G114" s="12" t="s">
        <v>757</v>
      </c>
      <c r="H114" s="12" t="s">
        <v>774</v>
      </c>
      <c r="I114" s="14">
        <v>18</v>
      </c>
      <c r="J114" s="13">
        <f>IF(B114="","",SUMIF(Bieu04A_12thang!$B:$B,B114,Bieu04A_12thang!$O:$O))</f>
        <v>18772</v>
      </c>
      <c r="K114" s="23"/>
      <c r="L114" s="13">
        <f>IF(B114="","",SUMIF(Bieu04A_12thang!$B:$B,B114,Bieu04A_12thang!$AB:$AB))</f>
        <v>38895584</v>
      </c>
      <c r="M114" s="12"/>
      <c r="N114" s="12"/>
      <c r="O114" s="12"/>
      <c r="P114" s="12"/>
    </row>
    <row r="115" spans="1:16" x14ac:dyDescent="0.3">
      <c r="A115" s="11">
        <v>109</v>
      </c>
      <c r="B115" s="12" t="s">
        <v>367</v>
      </c>
      <c r="C115" s="12" t="s">
        <v>644</v>
      </c>
      <c r="D115" s="12" t="s">
        <v>156</v>
      </c>
      <c r="E115" s="12">
        <v>1</v>
      </c>
      <c r="F115" s="12" t="s">
        <v>756</v>
      </c>
      <c r="G115" s="12" t="s">
        <v>757</v>
      </c>
      <c r="H115" s="12" t="s">
        <v>774</v>
      </c>
      <c r="I115" s="14">
        <v>18</v>
      </c>
      <c r="J115" s="13">
        <f>IF(B115="","",SUMIF(Bieu04A_12thang!$B:$B,B115,Bieu04A_12thang!$O:$O))</f>
        <v>20378</v>
      </c>
      <c r="K115" s="23"/>
      <c r="L115" s="13">
        <f>IF(B115="","",SUMIF(Bieu04A_12thang!$B:$B,B115,Bieu04A_12thang!$AB:$AB))</f>
        <v>42223216</v>
      </c>
      <c r="M115" s="12"/>
      <c r="N115" s="12"/>
      <c r="O115" s="12"/>
      <c r="P115" s="12"/>
    </row>
    <row r="116" spans="1:16" x14ac:dyDescent="0.3">
      <c r="A116" s="11">
        <v>110</v>
      </c>
      <c r="B116" s="12" t="s">
        <v>368</v>
      </c>
      <c r="C116" s="12" t="s">
        <v>645</v>
      </c>
      <c r="D116" s="12" t="s">
        <v>156</v>
      </c>
      <c r="E116" s="12">
        <v>1</v>
      </c>
      <c r="F116" s="12" t="s">
        <v>101</v>
      </c>
      <c r="G116" s="12" t="s">
        <v>757</v>
      </c>
      <c r="H116" s="12" t="s">
        <v>774</v>
      </c>
      <c r="I116" s="14">
        <v>10</v>
      </c>
      <c r="J116" s="13">
        <f>IF(B116="","",SUMIF(Bieu04A_12thang!$B:$B,B116,Bieu04A_12thang!$O:$O))</f>
        <v>389</v>
      </c>
      <c r="K116" s="23"/>
      <c r="L116" s="13">
        <f>IF(B116="","",SUMIF(Bieu04A_12thang!$B:$B,B116,Bieu04A_12thang!$AB:$AB))</f>
        <v>806008</v>
      </c>
      <c r="M116" s="12"/>
      <c r="N116" s="12"/>
      <c r="O116" s="12"/>
      <c r="P116" s="12"/>
    </row>
    <row r="117" spans="1:16" x14ac:dyDescent="0.3">
      <c r="A117" s="11">
        <v>111</v>
      </c>
      <c r="B117" s="12" t="s">
        <v>378</v>
      </c>
      <c r="C117" s="12" t="s">
        <v>651</v>
      </c>
      <c r="D117" s="12" t="s">
        <v>156</v>
      </c>
      <c r="E117" s="12">
        <v>1</v>
      </c>
      <c r="F117" s="12" t="s">
        <v>101</v>
      </c>
      <c r="G117" s="12" t="s">
        <v>757</v>
      </c>
      <c r="H117" s="12" t="s">
        <v>774</v>
      </c>
      <c r="I117" s="14">
        <v>10</v>
      </c>
      <c r="J117" s="13">
        <f>IF(B117="","",SUMIF(Bieu04A_12thang!$B:$B,B117,Bieu04A_12thang!$O:$O))</f>
        <v>1450</v>
      </c>
      <c r="K117" s="23"/>
      <c r="L117" s="13">
        <f>IF(B117="","",SUMIF(Bieu04A_12thang!$B:$B,B117,Bieu04A_12thang!$AB:$AB))</f>
        <v>3004400</v>
      </c>
      <c r="M117" s="12"/>
      <c r="N117" s="12"/>
      <c r="O117" s="12"/>
      <c r="P117" s="12"/>
    </row>
    <row r="118" spans="1:16" x14ac:dyDescent="0.3">
      <c r="A118" s="11">
        <v>112</v>
      </c>
      <c r="B118" s="12" t="s">
        <v>379</v>
      </c>
      <c r="C118" s="12" t="s">
        <v>651</v>
      </c>
      <c r="D118" s="12" t="s">
        <v>156</v>
      </c>
      <c r="E118" s="12">
        <v>1</v>
      </c>
      <c r="F118" s="12" t="s">
        <v>101</v>
      </c>
      <c r="G118" s="12" t="s">
        <v>758</v>
      </c>
      <c r="H118" s="12" t="s">
        <v>774</v>
      </c>
      <c r="I118" s="14">
        <v>127</v>
      </c>
      <c r="J118" s="13">
        <f>IF(B118="","",SUMIF(Bieu04A_12thang!$B:$B,B118,Bieu04A_12thang!$O:$O))</f>
        <v>20169</v>
      </c>
      <c r="K118" s="23"/>
      <c r="L118" s="13">
        <f>IF(B118="","",SUMIF(Bieu04A_12thang!$B:$B,B118,Bieu04A_12thang!$AB:$AB))</f>
        <v>41790168</v>
      </c>
      <c r="M118" s="12"/>
      <c r="N118" s="12"/>
      <c r="O118" s="12"/>
      <c r="P118" s="12"/>
    </row>
    <row r="119" spans="1:16" x14ac:dyDescent="0.3">
      <c r="A119" s="11">
        <v>113</v>
      </c>
      <c r="B119" s="12" t="s">
        <v>380</v>
      </c>
      <c r="C119" s="12" t="s">
        <v>652</v>
      </c>
      <c r="D119" s="12" t="s">
        <v>156</v>
      </c>
      <c r="E119" s="12">
        <v>1</v>
      </c>
      <c r="F119" s="12" t="s">
        <v>101</v>
      </c>
      <c r="G119" s="12" t="s">
        <v>757</v>
      </c>
      <c r="H119" s="12" t="s">
        <v>774</v>
      </c>
      <c r="I119" s="14">
        <v>10</v>
      </c>
      <c r="J119" s="13">
        <f>IF(B119="","",SUMIF(Bieu04A_12thang!$B:$B,B119,Bieu04A_12thang!$O:$O))</f>
        <v>1473</v>
      </c>
      <c r="K119" s="23"/>
      <c r="L119" s="13">
        <f>IF(B119="","",SUMIF(Bieu04A_12thang!$B:$B,B119,Bieu04A_12thang!$AB:$AB))</f>
        <v>3052056</v>
      </c>
      <c r="M119" s="12"/>
      <c r="N119" s="12"/>
      <c r="O119" s="12"/>
      <c r="P119" s="12"/>
    </row>
    <row r="120" spans="1:16" x14ac:dyDescent="0.3">
      <c r="A120" s="11">
        <v>114</v>
      </c>
      <c r="B120" s="12" t="s">
        <v>381</v>
      </c>
      <c r="C120" s="12" t="s">
        <v>653</v>
      </c>
      <c r="D120" s="12" t="s">
        <v>156</v>
      </c>
      <c r="E120" s="12">
        <v>1</v>
      </c>
      <c r="F120" s="12" t="s">
        <v>101</v>
      </c>
      <c r="G120" s="12" t="s">
        <v>757</v>
      </c>
      <c r="H120" s="12" t="s">
        <v>774</v>
      </c>
      <c r="I120" s="14">
        <v>18</v>
      </c>
      <c r="J120" s="13">
        <f>IF(B120="","",SUMIF(Bieu04A_12thang!$B:$B,B120,Bieu04A_12thang!$O:$O))</f>
        <v>16442</v>
      </c>
      <c r="K120" s="23"/>
      <c r="L120" s="13">
        <f>IF(B120="","",SUMIF(Bieu04A_12thang!$B:$B,B120,Bieu04A_12thang!$AB:$AB))</f>
        <v>34067824</v>
      </c>
      <c r="M120" s="12"/>
      <c r="N120" s="12"/>
      <c r="O120" s="12"/>
      <c r="P120" s="12"/>
    </row>
    <row r="121" spans="1:16" x14ac:dyDescent="0.3">
      <c r="A121" s="11">
        <v>115</v>
      </c>
      <c r="B121" s="12" t="s">
        <v>382</v>
      </c>
      <c r="C121" s="12" t="s">
        <v>651</v>
      </c>
      <c r="D121" s="12" t="s">
        <v>156</v>
      </c>
      <c r="E121" s="12">
        <v>1</v>
      </c>
      <c r="F121" s="12" t="s">
        <v>101</v>
      </c>
      <c r="G121" s="12" t="s">
        <v>757</v>
      </c>
      <c r="H121" s="12" t="s">
        <v>774</v>
      </c>
      <c r="I121" s="14">
        <v>10</v>
      </c>
      <c r="J121" s="13">
        <f>IF(B121="","",SUMIF(Bieu04A_12thang!$B:$B,B121,Bieu04A_12thang!$O:$O))</f>
        <v>4047</v>
      </c>
      <c r="K121" s="23"/>
      <c r="L121" s="13">
        <f>IF(B121="","",SUMIF(Bieu04A_12thang!$B:$B,B121,Bieu04A_12thang!$AB:$AB))</f>
        <v>8385384</v>
      </c>
      <c r="M121" s="12"/>
      <c r="N121" s="12"/>
      <c r="O121" s="12"/>
      <c r="P121" s="12"/>
    </row>
    <row r="122" spans="1:16" x14ac:dyDescent="0.3">
      <c r="A122" s="11">
        <v>116</v>
      </c>
      <c r="B122" s="12" t="s">
        <v>389</v>
      </c>
      <c r="C122" s="12" t="s">
        <v>659</v>
      </c>
      <c r="D122" s="12" t="s">
        <v>156</v>
      </c>
      <c r="E122" s="12">
        <v>1</v>
      </c>
      <c r="F122" s="12" t="s">
        <v>101</v>
      </c>
      <c r="G122" s="12" t="s">
        <v>757</v>
      </c>
      <c r="H122" s="12" t="s">
        <v>774</v>
      </c>
      <c r="I122" s="14">
        <v>18</v>
      </c>
      <c r="J122" s="13">
        <f>IF(B122="","",SUMIF(Bieu04A_12thang!$B:$B,B122,Bieu04A_12thang!$O:$O))</f>
        <v>58283</v>
      </c>
      <c r="K122" s="23"/>
      <c r="L122" s="13">
        <f>IF(B122="","",SUMIF(Bieu04A_12thang!$B:$B,B122,Bieu04A_12thang!$AB:$AB))</f>
        <v>120762376</v>
      </c>
      <c r="M122" s="12"/>
      <c r="N122" s="12"/>
      <c r="O122" s="12"/>
      <c r="P122" s="12"/>
    </row>
    <row r="123" spans="1:16" x14ac:dyDescent="0.3">
      <c r="A123" s="11">
        <v>117</v>
      </c>
      <c r="B123" s="12" t="s">
        <v>390</v>
      </c>
      <c r="C123" s="12" t="s">
        <v>660</v>
      </c>
      <c r="D123" s="12" t="s">
        <v>156</v>
      </c>
      <c r="E123" s="12">
        <v>1</v>
      </c>
      <c r="F123" s="12" t="s">
        <v>101</v>
      </c>
      <c r="G123" s="12" t="s">
        <v>758</v>
      </c>
      <c r="H123" s="12" t="s">
        <v>774</v>
      </c>
      <c r="I123" s="14">
        <v>127</v>
      </c>
      <c r="J123" s="13">
        <f>IF(B123="","",SUMIF(Bieu04A_12thang!$B:$B,B123,Bieu04A_12thang!$O:$O))</f>
        <v>30864</v>
      </c>
      <c r="K123" s="23"/>
      <c r="L123" s="13">
        <f>IF(B123="","",SUMIF(Bieu04A_12thang!$B:$B,B123,Bieu04A_12thang!$AB:$AB))</f>
        <v>63950208</v>
      </c>
      <c r="M123" s="12"/>
      <c r="N123" s="12"/>
      <c r="O123" s="12"/>
      <c r="P123" s="12"/>
    </row>
    <row r="124" spans="1:16" x14ac:dyDescent="0.3">
      <c r="A124" s="11">
        <v>118</v>
      </c>
      <c r="B124" s="12" t="s">
        <v>397</v>
      </c>
      <c r="C124" s="12" t="s">
        <v>665</v>
      </c>
      <c r="D124" s="12" t="s">
        <v>156</v>
      </c>
      <c r="E124" s="12">
        <v>1</v>
      </c>
      <c r="F124" s="12" t="s">
        <v>101</v>
      </c>
      <c r="G124" s="12" t="s">
        <v>758</v>
      </c>
      <c r="H124" s="12" t="s">
        <v>774</v>
      </c>
      <c r="I124" s="14">
        <v>127</v>
      </c>
      <c r="J124" s="13">
        <f>IF(B124="","",SUMIF(Bieu04A_12thang!$B:$B,B124,Bieu04A_12thang!$O:$O))</f>
        <v>27836</v>
      </c>
      <c r="K124" s="23"/>
      <c r="L124" s="13">
        <f>IF(B124="","",SUMIF(Bieu04A_12thang!$B:$B,B124,Bieu04A_12thang!$AB:$AB))</f>
        <v>57676192</v>
      </c>
      <c r="M124" s="12"/>
      <c r="N124" s="12"/>
      <c r="O124" s="12"/>
      <c r="P124" s="12"/>
    </row>
    <row r="125" spans="1:16" x14ac:dyDescent="0.3">
      <c r="A125" s="11">
        <v>119</v>
      </c>
      <c r="B125" s="12" t="s">
        <v>398</v>
      </c>
      <c r="C125" s="12" t="s">
        <v>665</v>
      </c>
      <c r="D125" s="12" t="s">
        <v>156</v>
      </c>
      <c r="E125" s="12">
        <v>1</v>
      </c>
      <c r="F125" s="12" t="s">
        <v>101</v>
      </c>
      <c r="G125" s="12" t="s">
        <v>758</v>
      </c>
      <c r="H125" s="12" t="s">
        <v>774</v>
      </c>
      <c r="I125" s="14">
        <v>127</v>
      </c>
      <c r="J125" s="13">
        <f>IF(B125="","",SUMIF(Bieu04A_12thang!$B:$B,B125,Bieu04A_12thang!$O:$O))</f>
        <v>14524</v>
      </c>
      <c r="K125" s="23"/>
      <c r="L125" s="13">
        <f>IF(B125="","",SUMIF(Bieu04A_12thang!$B:$B,B125,Bieu04A_12thang!$AB:$AB))</f>
        <v>30093728</v>
      </c>
      <c r="M125" s="12"/>
      <c r="N125" s="12"/>
      <c r="O125" s="12"/>
      <c r="P125" s="12"/>
    </row>
    <row r="126" spans="1:16" x14ac:dyDescent="0.3">
      <c r="A126" s="11">
        <v>120</v>
      </c>
      <c r="B126" s="12" t="s">
        <v>401</v>
      </c>
      <c r="C126" s="12" t="s">
        <v>668</v>
      </c>
      <c r="D126" s="12" t="s">
        <v>156</v>
      </c>
      <c r="E126" s="12">
        <v>1</v>
      </c>
      <c r="F126" s="12" t="s">
        <v>756</v>
      </c>
      <c r="G126" s="12" t="s">
        <v>757</v>
      </c>
      <c r="H126" s="12" t="s">
        <v>774</v>
      </c>
      <c r="I126" s="14">
        <v>18</v>
      </c>
      <c r="J126" s="13">
        <f>IF(B126="","",SUMIF(Bieu04A_12thang!$B:$B,B126,Bieu04A_12thang!$O:$O))</f>
        <v>29648</v>
      </c>
      <c r="K126" s="23"/>
      <c r="L126" s="13">
        <f>IF(B126="","",SUMIF(Bieu04A_12thang!$B:$B,B126,Bieu04A_12thang!$AB:$AB))</f>
        <v>64359648</v>
      </c>
      <c r="M126" s="12"/>
      <c r="N126" s="12"/>
      <c r="O126" s="12"/>
      <c r="P126" s="12"/>
    </row>
    <row r="127" spans="1:16" x14ac:dyDescent="0.3">
      <c r="A127" s="11">
        <v>121</v>
      </c>
      <c r="B127" s="12" t="s">
        <v>409</v>
      </c>
      <c r="C127" s="12" t="s">
        <v>675</v>
      </c>
      <c r="D127" s="12" t="s">
        <v>156</v>
      </c>
      <c r="E127" s="12">
        <v>1</v>
      </c>
      <c r="F127" s="12" t="s">
        <v>101</v>
      </c>
      <c r="G127" s="12" t="s">
        <v>757</v>
      </c>
      <c r="H127" s="12" t="s">
        <v>774</v>
      </c>
      <c r="I127" s="14">
        <v>10</v>
      </c>
      <c r="J127" s="13">
        <f>IF(B127="","",SUMIF(Bieu04A_12thang!$B:$B,B127,Bieu04A_12thang!$O:$O))</f>
        <v>1374</v>
      </c>
      <c r="K127" s="23"/>
      <c r="L127" s="13">
        <f>IF(B127="","",SUMIF(Bieu04A_12thang!$B:$B,B127,Bieu04A_12thang!$AB:$AB))</f>
        <v>2846928</v>
      </c>
      <c r="M127" s="12"/>
      <c r="N127" s="12"/>
      <c r="O127" s="12"/>
      <c r="P127" s="12"/>
    </row>
    <row r="128" spans="1:16" x14ac:dyDescent="0.3">
      <c r="A128" s="11">
        <v>122</v>
      </c>
      <c r="B128" s="12" t="s">
        <v>410</v>
      </c>
      <c r="C128" s="12" t="s">
        <v>676</v>
      </c>
      <c r="D128" s="12" t="s">
        <v>156</v>
      </c>
      <c r="E128" s="12">
        <v>1</v>
      </c>
      <c r="F128" s="12" t="s">
        <v>101</v>
      </c>
      <c r="G128" s="12" t="s">
        <v>758</v>
      </c>
      <c r="H128" s="12" t="s">
        <v>774</v>
      </c>
      <c r="I128" s="14">
        <v>127</v>
      </c>
      <c r="J128" s="13">
        <f>IF(B128="","",SUMIF(Bieu04A_12thang!$B:$B,B128,Bieu04A_12thang!$O:$O))</f>
        <v>8316</v>
      </c>
      <c r="K128" s="23"/>
      <c r="L128" s="13">
        <f>IF(B128="","",SUMIF(Bieu04A_12thang!$B:$B,B128,Bieu04A_12thang!$AB:$AB))</f>
        <v>18511416</v>
      </c>
      <c r="M128" s="12"/>
      <c r="N128" s="12"/>
      <c r="O128" s="12"/>
      <c r="P128" s="12"/>
    </row>
    <row r="129" spans="1:16" x14ac:dyDescent="0.3">
      <c r="A129" s="11">
        <v>123</v>
      </c>
      <c r="B129" s="12" t="s">
        <v>411</v>
      </c>
      <c r="C129" s="12" t="s">
        <v>676</v>
      </c>
      <c r="D129" s="12" t="s">
        <v>156</v>
      </c>
      <c r="E129" s="12">
        <v>1</v>
      </c>
      <c r="F129" s="12" t="s">
        <v>101</v>
      </c>
      <c r="G129" s="12" t="s">
        <v>758</v>
      </c>
      <c r="H129" s="12" t="s">
        <v>774</v>
      </c>
      <c r="I129" s="14">
        <v>127</v>
      </c>
      <c r="J129" s="13">
        <f>IF(B129="","",SUMIF(Bieu04A_12thang!$B:$B,B129,Bieu04A_12thang!$O:$O))</f>
        <v>19382</v>
      </c>
      <c r="K129" s="23"/>
      <c r="L129" s="13">
        <f>IF(B129="","",SUMIF(Bieu04A_12thang!$B:$B,B129,Bieu04A_12thang!$AB:$AB))</f>
        <v>40159504</v>
      </c>
      <c r="M129" s="12"/>
      <c r="N129" s="12"/>
      <c r="O129" s="12"/>
      <c r="P129" s="12"/>
    </row>
    <row r="130" spans="1:16" x14ac:dyDescent="0.3">
      <c r="A130" s="11">
        <v>124</v>
      </c>
      <c r="B130" s="12" t="s">
        <v>419</v>
      </c>
      <c r="C130" s="12" t="s">
        <v>683</v>
      </c>
      <c r="D130" s="12" t="s">
        <v>156</v>
      </c>
      <c r="E130" s="12">
        <v>1</v>
      </c>
      <c r="F130" s="12" t="s">
        <v>101</v>
      </c>
      <c r="G130" s="12" t="s">
        <v>758</v>
      </c>
      <c r="H130" s="12" t="s">
        <v>774</v>
      </c>
      <c r="I130" s="14">
        <v>127</v>
      </c>
      <c r="J130" s="13">
        <f>IF(B130="","",SUMIF(Bieu04A_12thang!$B:$B,B130,Bieu04A_12thang!$O:$O))</f>
        <v>27401</v>
      </c>
      <c r="K130" s="23"/>
      <c r="L130" s="13">
        <f>IF(B130="","",SUMIF(Bieu04A_12thang!$B:$B,B130,Bieu04A_12thang!$AB:$AB))</f>
        <v>56774872</v>
      </c>
      <c r="M130" s="12"/>
      <c r="N130" s="12"/>
      <c r="O130" s="12"/>
      <c r="P130" s="12"/>
    </row>
    <row r="131" spans="1:16" x14ac:dyDescent="0.3">
      <c r="A131" s="11">
        <v>125</v>
      </c>
      <c r="B131" s="12" t="s">
        <v>431</v>
      </c>
      <c r="C131" s="12" t="s">
        <v>693</v>
      </c>
      <c r="D131" s="12" t="s">
        <v>156</v>
      </c>
      <c r="E131" s="12">
        <v>1</v>
      </c>
      <c r="F131" s="12" t="s">
        <v>101</v>
      </c>
      <c r="G131" s="12" t="s">
        <v>758</v>
      </c>
      <c r="H131" s="12" t="s">
        <v>774</v>
      </c>
      <c r="I131" s="14">
        <v>127</v>
      </c>
      <c r="J131" s="13">
        <f>IF(B131="","",SUMIF(Bieu04A_12thang!$B:$B,B131,Bieu04A_12thang!$O:$O))</f>
        <v>35602</v>
      </c>
      <c r="K131" s="23"/>
      <c r="L131" s="13">
        <f>IF(B131="","",SUMIF(Bieu04A_12thang!$B:$B,B131,Bieu04A_12thang!$AB:$AB))</f>
        <v>73767344</v>
      </c>
      <c r="M131" s="12"/>
      <c r="N131" s="12"/>
      <c r="O131" s="12"/>
      <c r="P131" s="12"/>
    </row>
    <row r="132" spans="1:16" x14ac:dyDescent="0.3">
      <c r="A132" s="11">
        <v>126</v>
      </c>
      <c r="B132" s="12" t="s">
        <v>433</v>
      </c>
      <c r="C132" s="12" t="s">
        <v>695</v>
      </c>
      <c r="D132" s="12" t="s">
        <v>156</v>
      </c>
      <c r="E132" s="12">
        <v>1</v>
      </c>
      <c r="F132" s="12" t="s">
        <v>756</v>
      </c>
      <c r="G132" s="12" t="s">
        <v>757</v>
      </c>
      <c r="H132" s="12" t="s">
        <v>774</v>
      </c>
      <c r="I132" s="14">
        <v>18</v>
      </c>
      <c r="J132" s="13">
        <f>IF(B132="","",SUMIF(Bieu04A_12thang!$B:$B,B132,Bieu04A_12thang!$O:$O))</f>
        <v>82557</v>
      </c>
      <c r="K132" s="23"/>
      <c r="L132" s="13">
        <f>IF(B132="","",SUMIF(Bieu04A_12thang!$B:$B,B132,Bieu04A_12thang!$AB:$AB))</f>
        <v>171058104</v>
      </c>
      <c r="M132" s="12"/>
      <c r="N132" s="12"/>
      <c r="O132" s="12"/>
      <c r="P132" s="12"/>
    </row>
    <row r="133" spans="1:16" x14ac:dyDescent="0.3">
      <c r="A133" s="11">
        <v>127</v>
      </c>
      <c r="B133" s="12" t="s">
        <v>434</v>
      </c>
      <c r="C133" s="12" t="s">
        <v>695</v>
      </c>
      <c r="D133" s="12" t="s">
        <v>156</v>
      </c>
      <c r="E133" s="12">
        <v>1</v>
      </c>
      <c r="F133" s="12" t="s">
        <v>756</v>
      </c>
      <c r="G133" s="12" t="s">
        <v>757</v>
      </c>
      <c r="H133" s="12" t="s">
        <v>774</v>
      </c>
      <c r="I133" s="14">
        <v>18</v>
      </c>
      <c r="J133" s="13">
        <f>IF(B133="","",SUMIF(Bieu04A_12thang!$B:$B,B133,Bieu04A_12thang!$O:$O))</f>
        <v>9250</v>
      </c>
      <c r="K133" s="23"/>
      <c r="L133" s="13">
        <f>IF(B133="","",SUMIF(Bieu04A_12thang!$B:$B,B133,Bieu04A_12thang!$AB:$AB))</f>
        <v>19166000</v>
      </c>
      <c r="M133" s="12"/>
      <c r="N133" s="12"/>
      <c r="O133" s="12"/>
      <c r="P133" s="12"/>
    </row>
    <row r="134" spans="1:16" x14ac:dyDescent="0.3">
      <c r="A134" s="11">
        <v>128</v>
      </c>
      <c r="B134" s="12" t="s">
        <v>435</v>
      </c>
      <c r="C134" s="12" t="s">
        <v>695</v>
      </c>
      <c r="D134" s="12" t="s">
        <v>156</v>
      </c>
      <c r="E134" s="12">
        <v>1</v>
      </c>
      <c r="F134" s="12" t="s">
        <v>756</v>
      </c>
      <c r="G134" s="12" t="s">
        <v>758</v>
      </c>
      <c r="H134" s="12" t="s">
        <v>774</v>
      </c>
      <c r="I134" s="14">
        <v>127</v>
      </c>
      <c r="J134" s="13">
        <f>IF(B134="","",SUMIF(Bieu04A_12thang!$B:$B,B134,Bieu04A_12thang!$O:$O))</f>
        <v>93807</v>
      </c>
      <c r="K134" s="23"/>
      <c r="L134" s="13">
        <f>IF(B134="","",SUMIF(Bieu04A_12thang!$B:$B,B134,Bieu04A_12thang!$AB:$AB))</f>
        <v>194368104</v>
      </c>
      <c r="M134" s="12"/>
      <c r="N134" s="12"/>
      <c r="O134" s="12"/>
      <c r="P134" s="12"/>
    </row>
    <row r="135" spans="1:16" x14ac:dyDescent="0.3">
      <c r="A135" s="11">
        <v>129</v>
      </c>
      <c r="B135" s="12" t="s">
        <v>437</v>
      </c>
      <c r="C135" s="12" t="s">
        <v>697</v>
      </c>
      <c r="D135" s="12" t="s">
        <v>156</v>
      </c>
      <c r="E135" s="12">
        <v>1</v>
      </c>
      <c r="F135" s="12" t="s">
        <v>101</v>
      </c>
      <c r="G135" s="12" t="s">
        <v>758</v>
      </c>
      <c r="H135" s="12" t="s">
        <v>774</v>
      </c>
      <c r="I135" s="14">
        <v>127</v>
      </c>
      <c r="J135" s="13">
        <f>IF(B135="","",SUMIF(Bieu04A_12thang!$B:$B,B135,Bieu04A_12thang!$O:$O))</f>
        <v>33796</v>
      </c>
      <c r="K135" s="23"/>
      <c r="L135" s="13">
        <f>IF(B135="","",SUMIF(Bieu04A_12thang!$B:$B,B135,Bieu04A_12thang!$AB:$AB))</f>
        <v>70025312</v>
      </c>
      <c r="M135" s="12"/>
      <c r="N135" s="12"/>
      <c r="O135" s="12"/>
      <c r="P135" s="12"/>
    </row>
    <row r="136" spans="1:16" x14ac:dyDescent="0.3">
      <c r="A136" s="11">
        <v>130</v>
      </c>
      <c r="B136" s="12" t="s">
        <v>438</v>
      </c>
      <c r="C136" s="12" t="s">
        <v>697</v>
      </c>
      <c r="D136" s="12" t="s">
        <v>156</v>
      </c>
      <c r="E136" s="12">
        <v>1</v>
      </c>
      <c r="F136" s="12" t="s">
        <v>101</v>
      </c>
      <c r="G136" s="12" t="s">
        <v>758</v>
      </c>
      <c r="H136" s="12" t="s">
        <v>774</v>
      </c>
      <c r="I136" s="14">
        <v>127</v>
      </c>
      <c r="J136" s="13">
        <f>IF(B136="","",SUMIF(Bieu04A_12thang!$B:$B,B136,Bieu04A_12thang!$O:$O))</f>
        <v>27771</v>
      </c>
      <c r="K136" s="23"/>
      <c r="L136" s="13">
        <f>IF(B136="","",SUMIF(Bieu04A_12thang!$B:$B,B136,Bieu04A_12thang!$AB:$AB))</f>
        <v>57541512</v>
      </c>
      <c r="M136" s="12"/>
      <c r="N136" s="12"/>
      <c r="O136" s="12"/>
      <c r="P136" s="12"/>
    </row>
    <row r="137" spans="1:16" x14ac:dyDescent="0.3">
      <c r="A137" s="11">
        <v>131</v>
      </c>
      <c r="B137" s="12" t="s">
        <v>439</v>
      </c>
      <c r="C137" s="12" t="s">
        <v>697</v>
      </c>
      <c r="D137" s="12" t="s">
        <v>156</v>
      </c>
      <c r="E137" s="12">
        <v>1</v>
      </c>
      <c r="F137" s="12" t="s">
        <v>101</v>
      </c>
      <c r="G137" s="12" t="s">
        <v>758</v>
      </c>
      <c r="H137" s="12" t="s">
        <v>774</v>
      </c>
      <c r="I137" s="14">
        <v>127</v>
      </c>
      <c r="J137" s="13">
        <f>IF(B137="","",SUMIF(Bieu04A_12thang!$B:$B,B137,Bieu04A_12thang!$O:$O))</f>
        <v>18405</v>
      </c>
      <c r="K137" s="23"/>
      <c r="L137" s="13">
        <f>IF(B137="","",SUMIF(Bieu04A_12thang!$B:$B,B137,Bieu04A_12thang!$AB:$AB))</f>
        <v>38135160</v>
      </c>
      <c r="M137" s="12"/>
      <c r="N137" s="12"/>
      <c r="O137" s="12"/>
      <c r="P137" s="12"/>
    </row>
    <row r="138" spans="1:16" x14ac:dyDescent="0.3">
      <c r="A138" s="11">
        <v>132</v>
      </c>
      <c r="B138" s="12" t="s">
        <v>452</v>
      </c>
      <c r="C138" s="12" t="s">
        <v>702</v>
      </c>
      <c r="D138" s="12" t="s">
        <v>156</v>
      </c>
      <c r="E138" s="12">
        <v>1</v>
      </c>
      <c r="F138" s="12" t="s">
        <v>101</v>
      </c>
      <c r="G138" s="12" t="s">
        <v>757</v>
      </c>
      <c r="H138" s="12" t="s">
        <v>774</v>
      </c>
      <c r="I138" s="14">
        <v>10</v>
      </c>
      <c r="J138" s="13">
        <f>IF(B138="","",SUMIF(Bieu04A_12thang!$B:$B,B138,Bieu04A_12thang!$O:$O))</f>
        <v>4442</v>
      </c>
      <c r="K138" s="23"/>
      <c r="L138" s="13">
        <f>IF(B138="","",SUMIF(Bieu04A_12thang!$B:$B,B138,Bieu04A_12thang!$AB:$AB))</f>
        <v>9203824</v>
      </c>
      <c r="M138" s="12"/>
      <c r="N138" s="12"/>
      <c r="O138" s="12"/>
      <c r="P138" s="12"/>
    </row>
    <row r="139" spans="1:16" x14ac:dyDescent="0.3">
      <c r="A139" s="11">
        <v>133</v>
      </c>
      <c r="B139" s="12" t="s">
        <v>453</v>
      </c>
      <c r="C139" s="12" t="s">
        <v>702</v>
      </c>
      <c r="D139" s="12" t="s">
        <v>156</v>
      </c>
      <c r="E139" s="12">
        <v>1</v>
      </c>
      <c r="F139" s="12" t="s">
        <v>101</v>
      </c>
      <c r="G139" s="12" t="s">
        <v>757</v>
      </c>
      <c r="H139" s="12" t="s">
        <v>774</v>
      </c>
      <c r="I139" s="14">
        <v>10</v>
      </c>
      <c r="J139" s="13">
        <f>IF(B139="","",SUMIF(Bieu04A_12thang!$B:$B,B139,Bieu04A_12thang!$O:$O))</f>
        <v>16312</v>
      </c>
      <c r="K139" s="23"/>
      <c r="L139" s="13">
        <f>IF(B139="","",SUMIF(Bieu04A_12thang!$B:$B,B139,Bieu04A_12thang!$AB:$AB))</f>
        <v>33798464</v>
      </c>
      <c r="M139" s="12"/>
      <c r="N139" s="12"/>
      <c r="O139" s="12"/>
      <c r="P139" s="12"/>
    </row>
    <row r="140" spans="1:16" x14ac:dyDescent="0.3">
      <c r="A140" s="11">
        <v>134</v>
      </c>
      <c r="B140" s="12" t="s">
        <v>454</v>
      </c>
      <c r="C140" s="12" t="s">
        <v>702</v>
      </c>
      <c r="D140" s="12" t="s">
        <v>156</v>
      </c>
      <c r="E140" s="12">
        <v>1</v>
      </c>
      <c r="F140" s="12" t="s">
        <v>101</v>
      </c>
      <c r="G140" s="12" t="s">
        <v>757</v>
      </c>
      <c r="H140" s="12" t="s">
        <v>774</v>
      </c>
      <c r="I140" s="14">
        <v>18</v>
      </c>
      <c r="J140" s="13">
        <f>IF(B140="","",SUMIF(Bieu04A_12thang!$B:$B,B140,Bieu04A_12thang!$O:$O))</f>
        <v>22291</v>
      </c>
      <c r="K140" s="23"/>
      <c r="L140" s="13">
        <f>IF(B140="","",SUMIF(Bieu04A_12thang!$B:$B,B140,Bieu04A_12thang!$AB:$AB))</f>
        <v>46186952</v>
      </c>
      <c r="M140" s="12"/>
      <c r="N140" s="12"/>
      <c r="O140" s="12"/>
      <c r="P140" s="12"/>
    </row>
    <row r="141" spans="1:16" x14ac:dyDescent="0.3">
      <c r="A141" s="11">
        <v>135</v>
      </c>
      <c r="B141" s="12" t="s">
        <v>456</v>
      </c>
      <c r="C141" s="12" t="s">
        <v>704</v>
      </c>
      <c r="D141" s="12" t="s">
        <v>156</v>
      </c>
      <c r="E141" s="12">
        <v>1</v>
      </c>
      <c r="F141" s="12" t="s">
        <v>101</v>
      </c>
      <c r="G141" s="12" t="s">
        <v>758</v>
      </c>
      <c r="H141" s="12" t="s">
        <v>774</v>
      </c>
      <c r="I141" s="14">
        <v>127</v>
      </c>
      <c r="J141" s="13">
        <f>IF(B141="","",SUMIF(Bieu04A_12thang!$B:$B,B141,Bieu04A_12thang!$O:$O))</f>
        <v>33797</v>
      </c>
      <c r="K141" s="23"/>
      <c r="L141" s="13">
        <f>IF(B141="","",SUMIF(Bieu04A_12thang!$B:$B,B141,Bieu04A_12thang!$AB:$AB))</f>
        <v>70027384</v>
      </c>
      <c r="M141" s="12"/>
      <c r="N141" s="12"/>
      <c r="O141" s="12"/>
      <c r="P141" s="12"/>
    </row>
    <row r="142" spans="1:16" x14ac:dyDescent="0.3">
      <c r="A142" s="11">
        <v>136</v>
      </c>
      <c r="B142" s="12" t="s">
        <v>457</v>
      </c>
      <c r="C142" s="12" t="s">
        <v>704</v>
      </c>
      <c r="D142" s="12" t="s">
        <v>156</v>
      </c>
      <c r="E142" s="12">
        <v>1</v>
      </c>
      <c r="F142" s="12" t="s">
        <v>101</v>
      </c>
      <c r="G142" s="12" t="s">
        <v>758</v>
      </c>
      <c r="H142" s="12" t="s">
        <v>774</v>
      </c>
      <c r="I142" s="14">
        <v>127</v>
      </c>
      <c r="J142" s="13">
        <f>IF(B142="","",SUMIF(Bieu04A_12thang!$B:$B,B142,Bieu04A_12thang!$O:$O))</f>
        <v>43501</v>
      </c>
      <c r="K142" s="23"/>
      <c r="L142" s="13">
        <f>IF(B142="","",SUMIF(Bieu04A_12thang!$B:$B,B142,Bieu04A_12thang!$AB:$AB))</f>
        <v>90134072</v>
      </c>
      <c r="M142" s="12"/>
      <c r="N142" s="12"/>
      <c r="O142" s="12"/>
      <c r="P142" s="12"/>
    </row>
    <row r="143" spans="1:16" x14ac:dyDescent="0.3">
      <c r="A143" s="11">
        <v>137</v>
      </c>
      <c r="B143" s="12" t="s">
        <v>458</v>
      </c>
      <c r="C143" s="12" t="s">
        <v>705</v>
      </c>
      <c r="D143" s="12" t="s">
        <v>156</v>
      </c>
      <c r="E143" s="12">
        <v>1</v>
      </c>
      <c r="F143" s="12" t="s">
        <v>101</v>
      </c>
      <c r="G143" s="12" t="s">
        <v>758</v>
      </c>
      <c r="H143" s="12" t="s">
        <v>774</v>
      </c>
      <c r="I143" s="14">
        <v>127</v>
      </c>
      <c r="J143" s="13">
        <f>IF(B143="","",SUMIF(Bieu04A_12thang!$B:$B,B143,Bieu04A_12thang!$O:$O))</f>
        <v>40590</v>
      </c>
      <c r="K143" s="23"/>
      <c r="L143" s="13">
        <f>IF(B143="","",SUMIF(Bieu04A_12thang!$B:$B,B143,Bieu04A_12thang!$AB:$AB))</f>
        <v>84102480</v>
      </c>
      <c r="M143" s="12"/>
      <c r="N143" s="12"/>
      <c r="O143" s="12"/>
      <c r="P143" s="12"/>
    </row>
    <row r="144" spans="1:16" x14ac:dyDescent="0.3">
      <c r="A144" s="11">
        <v>138</v>
      </c>
      <c r="B144" s="12" t="s">
        <v>459</v>
      </c>
      <c r="C144" s="12" t="s">
        <v>706</v>
      </c>
      <c r="D144" s="12" t="s">
        <v>156</v>
      </c>
      <c r="E144" s="12">
        <v>1</v>
      </c>
      <c r="F144" s="12" t="s">
        <v>101</v>
      </c>
      <c r="G144" s="12" t="s">
        <v>758</v>
      </c>
      <c r="H144" s="12" t="s">
        <v>774</v>
      </c>
      <c r="I144" s="14">
        <v>127</v>
      </c>
      <c r="J144" s="13">
        <f>IF(B144="","",SUMIF(Bieu04A_12thang!$B:$B,B144,Bieu04A_12thang!$O:$O))</f>
        <v>0</v>
      </c>
      <c r="K144" s="23"/>
      <c r="L144" s="13">
        <f>IF(B144="","",SUMIF(Bieu04A_12thang!$B:$B,B144,Bieu04A_12thang!$AB:$AB))</f>
        <v>0</v>
      </c>
      <c r="M144" s="12"/>
      <c r="N144" s="12"/>
      <c r="O144" s="12"/>
      <c r="P144" s="12"/>
    </row>
    <row r="145" spans="1:16" x14ac:dyDescent="0.3">
      <c r="A145" s="11">
        <v>139</v>
      </c>
      <c r="B145" s="12" t="s">
        <v>465</v>
      </c>
      <c r="C145" s="12" t="s">
        <v>712</v>
      </c>
      <c r="D145" s="12" t="s">
        <v>156</v>
      </c>
      <c r="E145" s="12">
        <v>1</v>
      </c>
      <c r="F145" s="12" t="s">
        <v>101</v>
      </c>
      <c r="G145" s="12" t="s">
        <v>758</v>
      </c>
      <c r="H145" s="12" t="s">
        <v>774</v>
      </c>
      <c r="I145" s="14">
        <v>127</v>
      </c>
      <c r="J145" s="13">
        <f>IF(B145="","",SUMIF(Bieu04A_12thang!$B:$B,B145,Bieu04A_12thang!$O:$O))</f>
        <v>3951</v>
      </c>
      <c r="K145" s="23"/>
      <c r="L145" s="13">
        <f>IF(B145="","",SUMIF(Bieu04A_12thang!$B:$B,B145,Bieu04A_12thang!$AB:$AB))</f>
        <v>8580558</v>
      </c>
      <c r="M145" s="12"/>
      <c r="N145" s="12"/>
      <c r="O145" s="12"/>
      <c r="P145" s="12"/>
    </row>
    <row r="146" spans="1:16" x14ac:dyDescent="0.3">
      <c r="A146" s="11">
        <v>140</v>
      </c>
      <c r="B146" s="12" t="s">
        <v>467</v>
      </c>
      <c r="C146" s="12" t="s">
        <v>714</v>
      </c>
      <c r="D146" s="12" t="s">
        <v>156</v>
      </c>
      <c r="E146" s="12">
        <v>1</v>
      </c>
      <c r="F146" s="12" t="s">
        <v>101</v>
      </c>
      <c r="G146" s="12" t="s">
        <v>757</v>
      </c>
      <c r="H146" s="12" t="s">
        <v>774</v>
      </c>
      <c r="I146" s="14">
        <v>18</v>
      </c>
      <c r="J146" s="13">
        <f>IF(B146="","",SUMIF(Bieu04A_12thang!$B:$B,B146,Bieu04A_12thang!$O:$O))</f>
        <v>57406</v>
      </c>
      <c r="K146" s="23"/>
      <c r="L146" s="13">
        <f>IF(B146="","",SUMIF(Bieu04A_12thang!$B:$B,B146,Bieu04A_12thang!$AB:$AB))</f>
        <v>118945232</v>
      </c>
      <c r="M146" s="12"/>
      <c r="N146" s="12"/>
      <c r="O146" s="12"/>
      <c r="P146" s="12"/>
    </row>
    <row r="147" spans="1:16" x14ac:dyDescent="0.3">
      <c r="A147" s="11">
        <v>141</v>
      </c>
      <c r="B147" s="12" t="s">
        <v>468</v>
      </c>
      <c r="C147" s="12" t="s">
        <v>715</v>
      </c>
      <c r="D147" s="12" t="s">
        <v>156</v>
      </c>
      <c r="E147" s="12">
        <v>1</v>
      </c>
      <c r="F147" s="12" t="s">
        <v>101</v>
      </c>
      <c r="G147" s="12" t="s">
        <v>758</v>
      </c>
      <c r="H147" s="12" t="s">
        <v>774</v>
      </c>
      <c r="I147" s="14">
        <v>127</v>
      </c>
      <c r="J147" s="13">
        <f>IF(B147="","",SUMIF(Bieu04A_12thang!$B:$B,B147,Bieu04A_12thang!$O:$O))</f>
        <v>54618</v>
      </c>
      <c r="K147" s="23"/>
      <c r="L147" s="13">
        <f>IF(B147="","",SUMIF(Bieu04A_12thang!$B:$B,B147,Bieu04A_12thang!$AB:$AB))</f>
        <v>113168496</v>
      </c>
      <c r="M147" s="12"/>
      <c r="N147" s="12"/>
      <c r="O147" s="12"/>
      <c r="P147" s="12"/>
    </row>
    <row r="148" spans="1:16" x14ac:dyDescent="0.3">
      <c r="A148" s="11">
        <v>142</v>
      </c>
      <c r="B148" s="12" t="s">
        <v>469</v>
      </c>
      <c r="C148" s="12" t="s">
        <v>716</v>
      </c>
      <c r="D148" s="12" t="s">
        <v>156</v>
      </c>
      <c r="E148" s="12">
        <v>1</v>
      </c>
      <c r="F148" s="12" t="s">
        <v>101</v>
      </c>
      <c r="G148" s="12" t="s">
        <v>758</v>
      </c>
      <c r="H148" s="12" t="s">
        <v>774</v>
      </c>
      <c r="I148" s="14">
        <v>127</v>
      </c>
      <c r="J148" s="13">
        <f>IF(B148="","",SUMIF(Bieu04A_12thang!$B:$B,B148,Bieu04A_12thang!$O:$O))</f>
        <v>29288</v>
      </c>
      <c r="K148" s="23"/>
      <c r="L148" s="13">
        <f>IF(B148="","",SUMIF(Bieu04A_12thang!$B:$B,B148,Bieu04A_12thang!$AB:$AB))</f>
        <v>60684736</v>
      </c>
      <c r="M148" s="12"/>
      <c r="N148" s="12"/>
      <c r="O148" s="12"/>
      <c r="P148" s="12"/>
    </row>
    <row r="149" spans="1:16" x14ac:dyDescent="0.3">
      <c r="A149" s="11">
        <v>143</v>
      </c>
      <c r="B149" s="12" t="s">
        <v>470</v>
      </c>
      <c r="C149" s="12" t="s">
        <v>716</v>
      </c>
      <c r="D149" s="12" t="s">
        <v>156</v>
      </c>
      <c r="E149" s="12">
        <v>1</v>
      </c>
      <c r="F149" s="12" t="s">
        <v>101</v>
      </c>
      <c r="G149" s="12" t="s">
        <v>757</v>
      </c>
      <c r="H149" s="12" t="s">
        <v>774</v>
      </c>
      <c r="I149" s="14">
        <v>10</v>
      </c>
      <c r="J149" s="13">
        <f>IF(B149="","",SUMIF(Bieu04A_12thang!$B:$B,B149,Bieu04A_12thang!$O:$O))</f>
        <v>18687</v>
      </c>
      <c r="K149" s="23"/>
      <c r="L149" s="13">
        <f>IF(B149="","",SUMIF(Bieu04A_12thang!$B:$B,B149,Bieu04A_12thang!$AB:$AB))</f>
        <v>38719464</v>
      </c>
      <c r="M149" s="12"/>
      <c r="N149" s="12"/>
      <c r="O149" s="12"/>
      <c r="P149" s="12"/>
    </row>
    <row r="150" spans="1:16" x14ac:dyDescent="0.3">
      <c r="A150" s="11">
        <v>144</v>
      </c>
      <c r="B150" s="12" t="s">
        <v>471</v>
      </c>
      <c r="C150" s="12" t="s">
        <v>716</v>
      </c>
      <c r="D150" s="12" t="s">
        <v>156</v>
      </c>
      <c r="E150" s="12">
        <v>1</v>
      </c>
      <c r="F150" s="12" t="s">
        <v>101</v>
      </c>
      <c r="G150" s="12" t="s">
        <v>757</v>
      </c>
      <c r="H150" s="12" t="s">
        <v>774</v>
      </c>
      <c r="I150" s="14">
        <v>10</v>
      </c>
      <c r="J150" s="13">
        <f>IF(B150="","",SUMIF(Bieu04A_12thang!$B:$B,B150,Bieu04A_12thang!$O:$O))</f>
        <v>4326</v>
      </c>
      <c r="K150" s="23"/>
      <c r="L150" s="13">
        <f>IF(B150="","",SUMIF(Bieu04A_12thang!$B:$B,B150,Bieu04A_12thang!$AB:$AB))</f>
        <v>8963472</v>
      </c>
      <c r="M150" s="12"/>
      <c r="N150" s="12"/>
      <c r="O150" s="12"/>
      <c r="P150" s="12"/>
    </row>
    <row r="151" spans="1:16" x14ac:dyDescent="0.3">
      <c r="A151" s="11">
        <v>145</v>
      </c>
      <c r="B151" s="12" t="s">
        <v>472</v>
      </c>
      <c r="C151" s="12" t="s">
        <v>716</v>
      </c>
      <c r="D151" s="12" t="s">
        <v>156</v>
      </c>
      <c r="E151" s="12">
        <v>1</v>
      </c>
      <c r="F151" s="12" t="s">
        <v>101</v>
      </c>
      <c r="G151" s="12" t="s">
        <v>758</v>
      </c>
      <c r="H151" s="12" t="s">
        <v>774</v>
      </c>
      <c r="I151" s="14">
        <v>127</v>
      </c>
      <c r="J151" s="13">
        <f>IF(B151="","",SUMIF(Bieu04A_12thang!$B:$B,B151,Bieu04A_12thang!$O:$O))</f>
        <v>10523</v>
      </c>
      <c r="K151" s="23"/>
      <c r="L151" s="13">
        <f>IF(B151="","",SUMIF(Bieu04A_12thang!$B:$B,B151,Bieu04A_12thang!$AB:$AB))</f>
        <v>21803656</v>
      </c>
      <c r="M151" s="12"/>
      <c r="N151" s="12"/>
      <c r="O151" s="12"/>
      <c r="P151" s="12"/>
    </row>
    <row r="152" spans="1:16" x14ac:dyDescent="0.3">
      <c r="A152" s="11">
        <v>146</v>
      </c>
      <c r="B152" s="12" t="s">
        <v>473</v>
      </c>
      <c r="C152" s="12" t="s">
        <v>716</v>
      </c>
      <c r="D152" s="12" t="s">
        <v>156</v>
      </c>
      <c r="E152" s="12">
        <v>1</v>
      </c>
      <c r="F152" s="12" t="s">
        <v>101</v>
      </c>
      <c r="G152" s="12" t="s">
        <v>758</v>
      </c>
      <c r="H152" s="12" t="s">
        <v>774</v>
      </c>
      <c r="I152" s="14">
        <v>127</v>
      </c>
      <c r="J152" s="13">
        <f>IF(B152="","",SUMIF(Bieu04A_12thang!$B:$B,B152,Bieu04A_12thang!$O:$O))</f>
        <v>17660</v>
      </c>
      <c r="K152" s="23"/>
      <c r="L152" s="13">
        <f>IF(B152="","",SUMIF(Bieu04A_12thang!$B:$B,B152,Bieu04A_12thang!$AB:$AB))</f>
        <v>36591520</v>
      </c>
      <c r="M152" s="12"/>
      <c r="N152" s="12"/>
      <c r="O152" s="12"/>
      <c r="P152" s="12"/>
    </row>
    <row r="153" spans="1:16" x14ac:dyDescent="0.3">
      <c r="A153" s="11">
        <v>147</v>
      </c>
      <c r="B153" s="12" t="s">
        <v>474</v>
      </c>
      <c r="C153" s="12" t="s">
        <v>717</v>
      </c>
      <c r="D153" s="12" t="s">
        <v>156</v>
      </c>
      <c r="E153" s="12">
        <v>1</v>
      </c>
      <c r="F153" s="12" t="s">
        <v>101</v>
      </c>
      <c r="G153" s="12" t="s">
        <v>758</v>
      </c>
      <c r="H153" s="12" t="s">
        <v>774</v>
      </c>
      <c r="I153" s="14">
        <v>127</v>
      </c>
      <c r="J153" s="13">
        <f>IF(B153="","",SUMIF(Bieu04A_12thang!$B:$B,B153,Bieu04A_12thang!$O:$O))</f>
        <v>24119</v>
      </c>
      <c r="K153" s="23"/>
      <c r="L153" s="13">
        <f>IF(B153="","",SUMIF(Bieu04A_12thang!$B:$B,B153,Bieu04A_12thang!$AB:$AB))</f>
        <v>49974568</v>
      </c>
      <c r="M153" s="12"/>
      <c r="N153" s="12"/>
      <c r="O153" s="12"/>
      <c r="P153" s="12"/>
    </row>
    <row r="154" spans="1:16" x14ac:dyDescent="0.3">
      <c r="A154" s="11">
        <v>148</v>
      </c>
      <c r="B154" s="12" t="s">
        <v>477</v>
      </c>
      <c r="C154" s="12" t="s">
        <v>720</v>
      </c>
      <c r="D154" s="12" t="s">
        <v>156</v>
      </c>
      <c r="E154" s="12">
        <v>2</v>
      </c>
      <c r="F154" s="12" t="s">
        <v>101</v>
      </c>
      <c r="G154" s="12" t="s">
        <v>757</v>
      </c>
      <c r="H154" s="12" t="s">
        <v>774</v>
      </c>
      <c r="I154" s="14">
        <v>10</v>
      </c>
      <c r="J154" s="13">
        <f>IF(B154="","",SUMIF(Bieu04A_12thang!$B:$B,B154,Bieu04A_12thang!$O:$O))</f>
        <v>0</v>
      </c>
      <c r="K154" s="23"/>
      <c r="L154" s="13">
        <f>IF(B154="","",SUMIF(Bieu04A_12thang!$B:$B,B154,Bieu04A_12thang!$AB:$AB))</f>
        <v>0</v>
      </c>
      <c r="M154" s="12"/>
      <c r="N154" s="12"/>
      <c r="O154" s="12"/>
      <c r="P154" s="12"/>
    </row>
    <row r="155" spans="1:16" x14ac:dyDescent="0.3">
      <c r="A155" s="11">
        <v>149</v>
      </c>
      <c r="B155" s="12" t="s">
        <v>478</v>
      </c>
      <c r="C155" s="12" t="s">
        <v>721</v>
      </c>
      <c r="D155" s="12" t="s">
        <v>156</v>
      </c>
      <c r="E155" s="12">
        <v>2</v>
      </c>
      <c r="F155" s="12" t="s">
        <v>101</v>
      </c>
      <c r="G155" s="12" t="s">
        <v>757</v>
      </c>
      <c r="H155" s="12" t="s">
        <v>774</v>
      </c>
      <c r="I155" s="14">
        <v>10</v>
      </c>
      <c r="J155" s="13">
        <f>IF(B155="","",SUMIF(Bieu04A_12thang!$B:$B,B155,Bieu04A_12thang!$O:$O))</f>
        <v>1547</v>
      </c>
      <c r="K155" s="23"/>
      <c r="L155" s="13">
        <f>IF(B155="","",SUMIF(Bieu04A_12thang!$B:$B,B155,Bieu04A_12thang!$AB:$AB))</f>
        <v>3443622</v>
      </c>
      <c r="M155" s="12"/>
      <c r="N155" s="12"/>
      <c r="O155" s="12"/>
      <c r="P155" s="12"/>
    </row>
    <row r="156" spans="1:16" x14ac:dyDescent="0.3">
      <c r="A156" s="11">
        <v>150</v>
      </c>
      <c r="B156" s="12" t="s">
        <v>479</v>
      </c>
      <c r="C156" s="12" t="s">
        <v>722</v>
      </c>
      <c r="D156" s="12" t="s">
        <v>156</v>
      </c>
      <c r="E156" s="12">
        <v>2</v>
      </c>
      <c r="F156" s="12" t="s">
        <v>101</v>
      </c>
      <c r="G156" s="12" t="s">
        <v>757</v>
      </c>
      <c r="H156" s="12" t="s">
        <v>774</v>
      </c>
      <c r="I156" s="14">
        <v>10</v>
      </c>
      <c r="J156" s="13">
        <f>IF(B156="","",SUMIF(Bieu04A_12thang!$B:$B,B156,Bieu04A_12thang!$O:$O))</f>
        <v>3620</v>
      </c>
      <c r="K156" s="23"/>
      <c r="L156" s="13">
        <f>IF(B156="","",SUMIF(Bieu04A_12thang!$B:$B,B156,Bieu04A_12thang!$AB:$AB))</f>
        <v>8058120</v>
      </c>
      <c r="M156" s="12"/>
      <c r="N156" s="12"/>
      <c r="O156" s="12"/>
      <c r="P156" s="12"/>
    </row>
    <row r="157" spans="1:16" x14ac:dyDescent="0.3">
      <c r="A157" s="11">
        <v>151</v>
      </c>
      <c r="B157" s="12" t="s">
        <v>480</v>
      </c>
      <c r="C157" s="12" t="s">
        <v>723</v>
      </c>
      <c r="D157" s="12" t="s">
        <v>156</v>
      </c>
      <c r="E157" s="12">
        <v>2</v>
      </c>
      <c r="F157" s="12" t="s">
        <v>101</v>
      </c>
      <c r="G157" s="12" t="s">
        <v>757</v>
      </c>
      <c r="H157" s="12" t="s">
        <v>774</v>
      </c>
      <c r="I157" s="14">
        <v>10</v>
      </c>
      <c r="J157" s="13">
        <f>IF(B157="","",SUMIF(Bieu04A_12thang!$B:$B,B157,Bieu04A_12thang!$O:$O))</f>
        <v>4693</v>
      </c>
      <c r="K157" s="23"/>
      <c r="L157" s="13">
        <f>IF(B157="","",SUMIF(Bieu04A_12thang!$B:$B,B157,Bieu04A_12thang!$AB:$AB))</f>
        <v>10446618</v>
      </c>
      <c r="M157" s="12"/>
      <c r="N157" s="12"/>
      <c r="O157" s="12"/>
      <c r="P157" s="12"/>
    </row>
    <row r="158" spans="1:16" x14ac:dyDescent="0.3">
      <c r="A158" s="11">
        <v>152</v>
      </c>
      <c r="B158" s="12" t="s">
        <v>481</v>
      </c>
      <c r="C158" s="12" t="s">
        <v>724</v>
      </c>
      <c r="D158" s="12" t="s">
        <v>156</v>
      </c>
      <c r="E158" s="12">
        <v>2</v>
      </c>
      <c r="F158" s="12" t="s">
        <v>101</v>
      </c>
      <c r="G158" s="12" t="s">
        <v>757</v>
      </c>
      <c r="H158" s="12" t="s">
        <v>774</v>
      </c>
      <c r="I158" s="14">
        <v>10</v>
      </c>
      <c r="J158" s="13">
        <f>IF(B158="","",SUMIF(Bieu04A_12thang!$B:$B,B158,Bieu04A_12thang!$O:$O))</f>
        <v>4702</v>
      </c>
      <c r="K158" s="23"/>
      <c r="L158" s="13">
        <f>IF(B158="","",SUMIF(Bieu04A_12thang!$B:$B,B158,Bieu04A_12thang!$AB:$AB))</f>
        <v>10466652</v>
      </c>
      <c r="M158" s="12"/>
      <c r="N158" s="12"/>
      <c r="O158" s="12"/>
      <c r="P158" s="12"/>
    </row>
    <row r="159" spans="1:16" x14ac:dyDescent="0.3">
      <c r="A159" s="11">
        <v>153</v>
      </c>
      <c r="B159" s="12" t="s">
        <v>541</v>
      </c>
      <c r="C159" s="12" t="s">
        <v>741</v>
      </c>
      <c r="D159" s="12" t="s">
        <v>156</v>
      </c>
      <c r="E159" s="12">
        <v>2</v>
      </c>
      <c r="F159" s="12" t="s">
        <v>101</v>
      </c>
      <c r="G159" s="12" t="s">
        <v>757</v>
      </c>
      <c r="H159" s="12" t="s">
        <v>774</v>
      </c>
      <c r="I159" s="14">
        <v>18</v>
      </c>
      <c r="J159" s="13">
        <f>IF(B159="","",SUMIF(Bieu04A_12thang!$B:$B,B159,Bieu04A_12thang!$O:$O))</f>
        <v>84913</v>
      </c>
      <c r="K159" s="23"/>
      <c r="L159" s="13">
        <f>IF(B159="","",SUMIF(Bieu04A_12thang!$B:$B,B159,Bieu04A_12thang!$AB:$AB))</f>
        <v>189016338</v>
      </c>
      <c r="M159" s="12"/>
      <c r="N159" s="12"/>
      <c r="O159" s="12"/>
      <c r="P159" s="12"/>
    </row>
    <row r="160" spans="1:16" x14ac:dyDescent="0.3">
      <c r="A160" s="11">
        <v>154</v>
      </c>
      <c r="B160" s="12" t="s">
        <v>548</v>
      </c>
      <c r="C160" s="12" t="s">
        <v>747</v>
      </c>
      <c r="D160" s="12" t="s">
        <v>156</v>
      </c>
      <c r="E160" s="12">
        <v>2</v>
      </c>
      <c r="F160" s="12" t="s">
        <v>101</v>
      </c>
      <c r="G160" s="12" t="s">
        <v>757</v>
      </c>
      <c r="H160" s="12" t="s">
        <v>774</v>
      </c>
      <c r="I160" s="14">
        <v>18</v>
      </c>
      <c r="J160" s="13">
        <f>IF(B160="","",SUMIF(Bieu04A_12thang!$B:$B,B160,Bieu04A_12thang!$O:$O))</f>
        <v>268</v>
      </c>
      <c r="K160" s="23"/>
      <c r="L160" s="13">
        <f>IF(B160="","",SUMIF(Bieu04A_12thang!$B:$B,B160,Bieu04A_12thang!$AB:$AB))</f>
        <v>596568</v>
      </c>
      <c r="M160" s="12"/>
      <c r="N160" s="12"/>
      <c r="O160" s="12"/>
      <c r="P160" s="12"/>
    </row>
    <row r="161" spans="1:16" x14ac:dyDescent="0.3">
      <c r="A161" s="11">
        <v>155</v>
      </c>
      <c r="B161" s="12" t="s">
        <v>549</v>
      </c>
      <c r="C161" s="12" t="s">
        <v>748</v>
      </c>
      <c r="D161" s="12" t="s">
        <v>156</v>
      </c>
      <c r="E161" s="12">
        <v>2</v>
      </c>
      <c r="F161" s="12" t="s">
        <v>101</v>
      </c>
      <c r="G161" s="12" t="s">
        <v>758</v>
      </c>
      <c r="H161" s="12" t="s">
        <v>774</v>
      </c>
      <c r="I161" s="14">
        <v>127</v>
      </c>
      <c r="J161" s="13">
        <f>IF(B161="","",SUMIF(Bieu04A_12thang!$B:$B,B161,Bieu04A_12thang!$O:$O))</f>
        <v>81088</v>
      </c>
      <c r="K161" s="23"/>
      <c r="L161" s="13">
        <f>IF(B161="","",SUMIF(Bieu04A_12thang!$B:$B,B161,Bieu04A_12thang!$AB:$AB))</f>
        <v>180501888</v>
      </c>
      <c r="M161" s="12"/>
      <c r="N161" s="12"/>
      <c r="O161" s="12"/>
      <c r="P161" s="12"/>
    </row>
    <row r="162" spans="1:16" x14ac:dyDescent="0.3">
      <c r="A162" s="11">
        <v>156</v>
      </c>
      <c r="B162" s="12" t="s">
        <v>550</v>
      </c>
      <c r="C162" s="12" t="s">
        <v>749</v>
      </c>
      <c r="D162" s="12" t="s">
        <v>156</v>
      </c>
      <c r="E162" s="12">
        <v>2</v>
      </c>
      <c r="F162" s="12" t="s">
        <v>101</v>
      </c>
      <c r="G162" s="12" t="s">
        <v>757</v>
      </c>
      <c r="H162" s="12" t="s">
        <v>774</v>
      </c>
      <c r="I162" s="14">
        <v>18</v>
      </c>
      <c r="J162" s="13">
        <f>IF(B162="","",SUMIF(Bieu04A_12thang!$B:$B,B162,Bieu04A_12thang!$O:$O))</f>
        <v>2197</v>
      </c>
      <c r="K162" s="23"/>
      <c r="L162" s="13">
        <f>IF(B162="","",SUMIF(Bieu04A_12thang!$B:$B,B162,Bieu04A_12thang!$AB:$AB))</f>
        <v>4890522</v>
      </c>
      <c r="M162" s="12"/>
      <c r="N162" s="12"/>
      <c r="O162" s="12"/>
      <c r="P162" s="12"/>
    </row>
    <row r="163" spans="1:16" x14ac:dyDescent="0.3">
      <c r="A163" s="11">
        <v>157</v>
      </c>
      <c r="B163" s="12" t="s">
        <v>551</v>
      </c>
      <c r="C163" s="12" t="s">
        <v>749</v>
      </c>
      <c r="D163" s="12" t="s">
        <v>156</v>
      </c>
      <c r="E163" s="12">
        <v>2</v>
      </c>
      <c r="F163" s="12" t="s">
        <v>101</v>
      </c>
      <c r="G163" s="12" t="s">
        <v>757</v>
      </c>
      <c r="H163" s="12" t="s">
        <v>774</v>
      </c>
      <c r="I163" s="14">
        <v>18</v>
      </c>
      <c r="J163" s="13">
        <f>IF(B163="","",SUMIF(Bieu04A_12thang!$B:$B,B163,Bieu04A_12thang!$O:$O))</f>
        <v>5532</v>
      </c>
      <c r="K163" s="23"/>
      <c r="L163" s="13">
        <f>IF(B163="","",SUMIF(Bieu04A_12thang!$B:$B,B163,Bieu04A_12thang!$AB:$AB))</f>
        <v>12314232</v>
      </c>
      <c r="M163" s="12"/>
      <c r="N163" s="12"/>
      <c r="O163" s="12"/>
      <c r="P163" s="12"/>
    </row>
    <row r="164" spans="1:16" x14ac:dyDescent="0.3">
      <c r="A164" s="11">
        <v>158</v>
      </c>
      <c r="B164" s="12" t="s">
        <v>552</v>
      </c>
      <c r="C164" s="12" t="s">
        <v>749</v>
      </c>
      <c r="D164" s="12" t="s">
        <v>156</v>
      </c>
      <c r="E164" s="12">
        <v>2</v>
      </c>
      <c r="F164" s="12" t="s">
        <v>101</v>
      </c>
      <c r="G164" s="12" t="s">
        <v>757</v>
      </c>
      <c r="H164" s="12" t="s">
        <v>774</v>
      </c>
      <c r="I164" s="14">
        <v>18</v>
      </c>
      <c r="J164" s="13">
        <f>IF(B164="","",SUMIF(Bieu04A_12thang!$B:$B,B164,Bieu04A_12thang!$O:$O))</f>
        <v>107721</v>
      </c>
      <c r="K164" s="23"/>
      <c r="L164" s="13">
        <f>IF(B164="","",SUMIF(Bieu04A_12thang!$B:$B,B164,Bieu04A_12thang!$AB:$AB))</f>
        <v>239786946</v>
      </c>
      <c r="M164" s="12"/>
      <c r="N164" s="12"/>
      <c r="O164" s="12"/>
      <c r="P164" s="12"/>
    </row>
    <row r="165" spans="1:16" x14ac:dyDescent="0.3">
      <c r="A165" s="11">
        <v>159</v>
      </c>
      <c r="B165" s="12" t="s">
        <v>553</v>
      </c>
      <c r="C165" s="12" t="s">
        <v>750</v>
      </c>
      <c r="D165" s="12" t="s">
        <v>156</v>
      </c>
      <c r="E165" s="12">
        <v>2</v>
      </c>
      <c r="F165" s="12" t="s">
        <v>101</v>
      </c>
      <c r="G165" s="12" t="s">
        <v>757</v>
      </c>
      <c r="H165" s="12" t="s">
        <v>774</v>
      </c>
      <c r="I165" s="14">
        <v>10</v>
      </c>
      <c r="J165" s="13">
        <f>IF(B165="","",SUMIF(Bieu04A_12thang!$B:$B,B165,Bieu04A_12thang!$O:$O))</f>
        <v>6714</v>
      </c>
      <c r="K165" s="23"/>
      <c r="L165" s="13">
        <f>IF(B165="","",SUMIF(Bieu04A_12thang!$B:$B,B165,Bieu04A_12thang!$AB:$AB))</f>
        <v>14945364</v>
      </c>
      <c r="M165" s="12"/>
      <c r="N165" s="12"/>
      <c r="O165" s="12"/>
      <c r="P165" s="12"/>
    </row>
    <row r="166" spans="1:16" x14ac:dyDescent="0.3">
      <c r="A166" s="11">
        <v>160</v>
      </c>
      <c r="B166" s="12" t="s">
        <v>554</v>
      </c>
      <c r="C166" s="12" t="s">
        <v>749</v>
      </c>
      <c r="D166" s="12" t="s">
        <v>156</v>
      </c>
      <c r="E166" s="12">
        <v>2</v>
      </c>
      <c r="F166" s="12" t="s">
        <v>101</v>
      </c>
      <c r="G166" s="12" t="s">
        <v>757</v>
      </c>
      <c r="H166" s="12" t="s">
        <v>774</v>
      </c>
      <c r="I166" s="14">
        <v>10</v>
      </c>
      <c r="J166" s="13">
        <f>IF(B166="","",SUMIF(Bieu04A_12thang!$B:$B,B166,Bieu04A_12thang!$O:$O))</f>
        <v>4339</v>
      </c>
      <c r="K166" s="23"/>
      <c r="L166" s="13">
        <f>IF(B166="","",SUMIF(Bieu04A_12thang!$B:$B,B166,Bieu04A_12thang!$AB:$AB))</f>
        <v>9658614</v>
      </c>
      <c r="M166" s="12"/>
      <c r="N166" s="12"/>
      <c r="O166" s="12"/>
      <c r="P166" s="12"/>
    </row>
    <row r="167" spans="1:16" x14ac:dyDescent="0.3">
      <c r="A167" s="11">
        <v>161</v>
      </c>
      <c r="B167" s="12" t="s">
        <v>555</v>
      </c>
      <c r="C167" s="12" t="s">
        <v>749</v>
      </c>
      <c r="D167" s="12" t="s">
        <v>156</v>
      </c>
      <c r="E167" s="12">
        <v>2</v>
      </c>
      <c r="F167" s="12" t="s">
        <v>101</v>
      </c>
      <c r="G167" s="12" t="s">
        <v>757</v>
      </c>
      <c r="H167" s="12" t="s">
        <v>774</v>
      </c>
      <c r="I167" s="14">
        <v>10</v>
      </c>
      <c r="J167" s="13">
        <f>IF(B167="","",SUMIF(Bieu04A_12thang!$B:$B,B167,Bieu04A_12thang!$O:$O))</f>
        <v>2884</v>
      </c>
      <c r="K167" s="23"/>
      <c r="L167" s="13">
        <f>IF(B167="","",SUMIF(Bieu04A_12thang!$B:$B,B167,Bieu04A_12thang!$AB:$AB))</f>
        <v>6419784</v>
      </c>
      <c r="M167" s="12"/>
      <c r="N167" s="12"/>
      <c r="O167" s="12"/>
      <c r="P167" s="12"/>
    </row>
    <row r="168" spans="1:16" x14ac:dyDescent="0.3">
      <c r="A168" s="11">
        <v>162</v>
      </c>
      <c r="B168" s="12" t="s">
        <v>561</v>
      </c>
      <c r="C168" s="12" t="s">
        <v>755</v>
      </c>
      <c r="D168" s="12" t="s">
        <v>156</v>
      </c>
      <c r="E168" s="12">
        <v>2</v>
      </c>
      <c r="F168" s="12" t="s">
        <v>101</v>
      </c>
      <c r="G168" s="12" t="s">
        <v>757</v>
      </c>
      <c r="H168" s="12" t="s">
        <v>774</v>
      </c>
      <c r="I168" s="14">
        <v>18</v>
      </c>
      <c r="J168" s="13">
        <f>IF(B168="","",SUMIF(Bieu04A_12thang!$B:$B,B168,Bieu04A_12thang!$O:$O))</f>
        <v>18194</v>
      </c>
      <c r="K168" s="23"/>
      <c r="L168" s="13">
        <f>IF(B168="","",SUMIF(Bieu04A_12thang!$B:$B,B168,Bieu04A_12thang!$AB:$AB))</f>
        <v>40499844</v>
      </c>
      <c r="M168" s="12"/>
      <c r="N168" s="12"/>
      <c r="O168" s="12"/>
      <c r="P168" s="12"/>
    </row>
    <row r="169" spans="1:16" x14ac:dyDescent="0.3">
      <c r="A169" s="11">
        <v>163</v>
      </c>
      <c r="B169" s="12" t="s">
        <v>171</v>
      </c>
      <c r="C169" s="12" t="s">
        <v>570</v>
      </c>
      <c r="D169" s="12" t="s">
        <v>155</v>
      </c>
      <c r="E169" s="12">
        <v>2</v>
      </c>
      <c r="F169" s="12" t="s">
        <v>101</v>
      </c>
      <c r="G169" s="12" t="s">
        <v>757</v>
      </c>
      <c r="H169" s="12" t="s">
        <v>774</v>
      </c>
      <c r="I169" s="14">
        <v>10</v>
      </c>
      <c r="J169" s="13">
        <f>IF(B169="","",SUMIF(Bieu04A_12thang!$B:$B,B169,Bieu04A_12thang!$O:$O))</f>
        <v>621</v>
      </c>
      <c r="K169" s="23"/>
      <c r="L169" s="13">
        <f>IF(B169="","",SUMIF(Bieu04A_12thang!$B:$B,B169,Bieu04A_12thang!$AB:$AB))</f>
        <v>1382346</v>
      </c>
      <c r="M169" s="12"/>
      <c r="N169" s="12"/>
      <c r="O169" s="12"/>
      <c r="P169" s="12"/>
    </row>
    <row r="170" spans="1:16" x14ac:dyDescent="0.3">
      <c r="A170" s="11">
        <v>164</v>
      </c>
      <c r="B170" s="12" t="s">
        <v>172</v>
      </c>
      <c r="C170" s="12" t="s">
        <v>570</v>
      </c>
      <c r="D170" s="12" t="s">
        <v>155</v>
      </c>
      <c r="E170" s="12">
        <v>2</v>
      </c>
      <c r="F170" s="12" t="s">
        <v>101</v>
      </c>
      <c r="G170" s="12" t="s">
        <v>757</v>
      </c>
      <c r="H170" s="12" t="s">
        <v>774</v>
      </c>
      <c r="I170" s="14">
        <v>10</v>
      </c>
      <c r="J170" s="13">
        <f>IF(B170="","",SUMIF(Bieu04A_12thang!$B:$B,B170,Bieu04A_12thang!$O:$O))</f>
        <v>106</v>
      </c>
      <c r="K170" s="23"/>
      <c r="L170" s="13">
        <f>IF(B170="","",SUMIF(Bieu04A_12thang!$B:$B,B170,Bieu04A_12thang!$AB:$AB))</f>
        <v>235956</v>
      </c>
      <c r="M170" s="12"/>
      <c r="N170" s="12"/>
      <c r="O170" s="12"/>
      <c r="P170" s="12"/>
    </row>
    <row r="171" spans="1:16" x14ac:dyDescent="0.3">
      <c r="A171" s="11">
        <v>165</v>
      </c>
      <c r="B171" s="12" t="s">
        <v>184</v>
      </c>
      <c r="C171" s="12" t="s">
        <v>570</v>
      </c>
      <c r="D171" s="12" t="s">
        <v>155</v>
      </c>
      <c r="E171" s="12">
        <v>2</v>
      </c>
      <c r="F171" s="12" t="s">
        <v>101</v>
      </c>
      <c r="G171" s="12" t="s">
        <v>757</v>
      </c>
      <c r="H171" s="12" t="s">
        <v>774</v>
      </c>
      <c r="I171" s="14">
        <v>10</v>
      </c>
      <c r="J171" s="13">
        <f>IF(B171="","",SUMIF(Bieu04A_12thang!$B:$B,B171,Bieu04A_12thang!$O:$O))</f>
        <v>110</v>
      </c>
      <c r="K171" s="23"/>
      <c r="L171" s="13">
        <f>IF(B171="","",SUMIF(Bieu04A_12thang!$B:$B,B171,Bieu04A_12thang!$AB:$AB))</f>
        <v>244860</v>
      </c>
      <c r="M171" s="12"/>
      <c r="N171" s="12"/>
      <c r="O171" s="12"/>
      <c r="P171" s="12"/>
    </row>
    <row r="172" spans="1:16" x14ac:dyDescent="0.3">
      <c r="A172" s="11">
        <v>166</v>
      </c>
      <c r="B172" s="12" t="s">
        <v>187</v>
      </c>
      <c r="C172" s="12" t="s">
        <v>570</v>
      </c>
      <c r="D172" s="12" t="s">
        <v>155</v>
      </c>
      <c r="E172" s="12">
        <v>2</v>
      </c>
      <c r="F172" s="12" t="s">
        <v>101</v>
      </c>
      <c r="G172" s="12" t="s">
        <v>757</v>
      </c>
      <c r="H172" s="12" t="s">
        <v>774</v>
      </c>
      <c r="I172" s="14">
        <v>10</v>
      </c>
      <c r="J172" s="13">
        <f>IF(B172="","",SUMIF(Bieu04A_12thang!$B:$B,B172,Bieu04A_12thang!$O:$O))</f>
        <v>641</v>
      </c>
      <c r="K172" s="23"/>
      <c r="L172" s="13">
        <f>IF(B172="","",SUMIF(Bieu04A_12thang!$B:$B,B172,Bieu04A_12thang!$AB:$AB))</f>
        <v>1426866</v>
      </c>
      <c r="M172" s="12"/>
      <c r="N172" s="12"/>
      <c r="O172" s="12"/>
      <c r="P172" s="12"/>
    </row>
    <row r="173" spans="1:16" x14ac:dyDescent="0.3">
      <c r="A173" s="11">
        <v>167</v>
      </c>
      <c r="B173" s="12" t="s">
        <v>190</v>
      </c>
      <c r="C173" s="12" t="s">
        <v>570</v>
      </c>
      <c r="D173" s="12" t="s">
        <v>155</v>
      </c>
      <c r="E173" s="12">
        <v>2</v>
      </c>
      <c r="F173" s="12" t="s">
        <v>101</v>
      </c>
      <c r="G173" s="12" t="s">
        <v>757</v>
      </c>
      <c r="H173" s="12" t="s">
        <v>774</v>
      </c>
      <c r="I173" s="14">
        <v>10</v>
      </c>
      <c r="J173" s="13">
        <f>IF(B173="","",SUMIF(Bieu04A_12thang!$B:$B,B173,Bieu04A_12thang!$O:$O))</f>
        <v>116</v>
      </c>
      <c r="K173" s="23"/>
      <c r="L173" s="13">
        <f>IF(B173="","",SUMIF(Bieu04A_12thang!$B:$B,B173,Bieu04A_12thang!$AB:$AB))</f>
        <v>258216</v>
      </c>
      <c r="M173" s="12"/>
      <c r="N173" s="12"/>
      <c r="O173" s="12"/>
      <c r="P173" s="12"/>
    </row>
    <row r="174" spans="1:16" x14ac:dyDescent="0.3">
      <c r="A174" s="11">
        <v>168</v>
      </c>
      <c r="B174" s="12" t="s">
        <v>194</v>
      </c>
      <c r="C174" s="12" t="s">
        <v>570</v>
      </c>
      <c r="D174" s="12" t="s">
        <v>155</v>
      </c>
      <c r="E174" s="12">
        <v>2</v>
      </c>
      <c r="F174" s="12" t="s">
        <v>101</v>
      </c>
      <c r="G174" s="12" t="s">
        <v>757</v>
      </c>
      <c r="H174" s="12" t="s">
        <v>774</v>
      </c>
      <c r="I174" s="14">
        <v>10</v>
      </c>
      <c r="J174" s="13">
        <f>IF(B174="","",SUMIF(Bieu04A_12thang!$B:$B,B174,Bieu04A_12thang!$O:$O))</f>
        <v>625</v>
      </c>
      <c r="K174" s="23"/>
      <c r="L174" s="13">
        <f>IF(B174="","",SUMIF(Bieu04A_12thang!$B:$B,B174,Bieu04A_12thang!$AB:$AB))</f>
        <v>1391250</v>
      </c>
      <c r="M174" s="12"/>
      <c r="N174" s="12"/>
      <c r="O174" s="12"/>
      <c r="P174" s="12"/>
    </row>
    <row r="175" spans="1:16" x14ac:dyDescent="0.3">
      <c r="A175" s="11">
        <v>169</v>
      </c>
      <c r="B175" s="12" t="s">
        <v>220</v>
      </c>
      <c r="C175" s="12" t="s">
        <v>570</v>
      </c>
      <c r="D175" s="12" t="s">
        <v>155</v>
      </c>
      <c r="E175" s="12">
        <v>2</v>
      </c>
      <c r="F175" s="12" t="s">
        <v>101</v>
      </c>
      <c r="G175" s="12" t="s">
        <v>757</v>
      </c>
      <c r="H175" s="12" t="s">
        <v>774</v>
      </c>
      <c r="I175" s="14">
        <v>10</v>
      </c>
      <c r="J175" s="13">
        <f>IF(B175="","",SUMIF(Bieu04A_12thang!$B:$B,B175,Bieu04A_12thang!$O:$O))</f>
        <v>119</v>
      </c>
      <c r="K175" s="23"/>
      <c r="L175" s="13">
        <f>IF(B175="","",SUMIF(Bieu04A_12thang!$B:$B,B175,Bieu04A_12thang!$AB:$AB))</f>
        <v>264894</v>
      </c>
      <c r="M175" s="12"/>
      <c r="N175" s="12"/>
      <c r="O175" s="12"/>
      <c r="P175" s="12"/>
    </row>
    <row r="176" spans="1:16" x14ac:dyDescent="0.3">
      <c r="A176" s="11">
        <v>170</v>
      </c>
      <c r="B176" s="12" t="s">
        <v>302</v>
      </c>
      <c r="C176" s="12" t="s">
        <v>608</v>
      </c>
      <c r="D176" s="12" t="s">
        <v>155</v>
      </c>
      <c r="E176" s="12">
        <v>1</v>
      </c>
      <c r="F176" s="12" t="s">
        <v>101</v>
      </c>
      <c r="G176" s="12" t="s">
        <v>757</v>
      </c>
      <c r="H176" s="12" t="s">
        <v>774</v>
      </c>
      <c r="I176" s="14">
        <v>18</v>
      </c>
      <c r="J176" s="13">
        <f>IF(B176="","",SUMIF(Bieu04A_12thang!$B:$B,B176,Bieu04A_12thang!$O:$O))</f>
        <v>7534</v>
      </c>
      <c r="K176" s="23"/>
      <c r="L176" s="13">
        <f>IF(B176="","",SUMIF(Bieu04A_12thang!$B:$B,B176,Bieu04A_12thang!$AB:$AB))</f>
        <v>15610448</v>
      </c>
      <c r="M176" s="12"/>
      <c r="N176" s="12"/>
      <c r="O176" s="12"/>
      <c r="P176" s="12"/>
    </row>
    <row r="177" spans="1:16" x14ac:dyDescent="0.3">
      <c r="A177" s="11">
        <v>171</v>
      </c>
      <c r="B177" s="12" t="s">
        <v>369</v>
      </c>
      <c r="C177" s="12" t="s">
        <v>646</v>
      </c>
      <c r="D177" s="12" t="s">
        <v>155</v>
      </c>
      <c r="E177" s="12">
        <v>1</v>
      </c>
      <c r="F177" s="12" t="s">
        <v>101</v>
      </c>
      <c r="G177" s="12" t="s">
        <v>757</v>
      </c>
      <c r="H177" s="12" t="s">
        <v>774</v>
      </c>
      <c r="I177" s="14">
        <v>10</v>
      </c>
      <c r="J177" s="13">
        <f>IF(B177="","",SUMIF(Bieu04A_12thang!$B:$B,B177,Bieu04A_12thang!$O:$O))</f>
        <v>126</v>
      </c>
      <c r="K177" s="23"/>
      <c r="L177" s="13">
        <f>IF(B177="","",SUMIF(Bieu04A_12thang!$B:$B,B177,Bieu04A_12thang!$AB:$AB))</f>
        <v>261072</v>
      </c>
      <c r="M177" s="12"/>
      <c r="N177" s="12"/>
      <c r="O177" s="12"/>
      <c r="P177" s="12"/>
    </row>
    <row r="178" spans="1:16" x14ac:dyDescent="0.3">
      <c r="A178" s="11">
        <v>172</v>
      </c>
      <c r="B178" s="12" t="s">
        <v>370</v>
      </c>
      <c r="C178" s="12" t="s">
        <v>646</v>
      </c>
      <c r="D178" s="12" t="s">
        <v>155</v>
      </c>
      <c r="E178" s="12">
        <v>1</v>
      </c>
      <c r="F178" s="12" t="s">
        <v>101</v>
      </c>
      <c r="G178" s="12" t="s">
        <v>757</v>
      </c>
      <c r="H178" s="12" t="s">
        <v>774</v>
      </c>
      <c r="I178" s="14">
        <v>10</v>
      </c>
      <c r="J178" s="13">
        <f>IF(B178="","",SUMIF(Bieu04A_12thang!$B:$B,B178,Bieu04A_12thang!$O:$O))</f>
        <v>19141</v>
      </c>
      <c r="K178" s="23"/>
      <c r="L178" s="13">
        <f>IF(B178="","",SUMIF(Bieu04A_12thang!$B:$B,B178,Bieu04A_12thang!$AB:$AB))</f>
        <v>39660152</v>
      </c>
      <c r="M178" s="12"/>
      <c r="N178" s="12"/>
      <c r="O178" s="12"/>
      <c r="P178" s="12"/>
    </row>
    <row r="179" spans="1:16" x14ac:dyDescent="0.3">
      <c r="A179" s="11">
        <v>173</v>
      </c>
      <c r="B179" s="12" t="s">
        <v>371</v>
      </c>
      <c r="C179" s="12" t="s">
        <v>647</v>
      </c>
      <c r="D179" s="12" t="s">
        <v>155</v>
      </c>
      <c r="E179" s="12">
        <v>1</v>
      </c>
      <c r="F179" s="12" t="s">
        <v>101</v>
      </c>
      <c r="G179" s="12" t="s">
        <v>757</v>
      </c>
      <c r="H179" s="12" t="s">
        <v>774</v>
      </c>
      <c r="I179" s="14">
        <v>10</v>
      </c>
      <c r="J179" s="13">
        <f>IF(B179="","",SUMIF(Bieu04A_12thang!$B:$B,B179,Bieu04A_12thang!$O:$O))</f>
        <v>3934</v>
      </c>
      <c r="K179" s="23"/>
      <c r="L179" s="13">
        <f>IF(B179="","",SUMIF(Bieu04A_12thang!$B:$B,B179,Bieu04A_12thang!$AB:$AB))</f>
        <v>8151248</v>
      </c>
      <c r="M179" s="12"/>
      <c r="N179" s="12"/>
      <c r="O179" s="12"/>
      <c r="P179" s="12"/>
    </row>
    <row r="180" spans="1:16" x14ac:dyDescent="0.3">
      <c r="A180" s="11">
        <v>174</v>
      </c>
      <c r="B180" s="12" t="s">
        <v>372</v>
      </c>
      <c r="C180" s="12" t="s">
        <v>647</v>
      </c>
      <c r="D180" s="12" t="s">
        <v>155</v>
      </c>
      <c r="E180" s="12">
        <v>1</v>
      </c>
      <c r="F180" s="12" t="s">
        <v>101</v>
      </c>
      <c r="G180" s="12" t="s">
        <v>758</v>
      </c>
      <c r="H180" s="12" t="s">
        <v>774</v>
      </c>
      <c r="I180" s="14">
        <v>127</v>
      </c>
      <c r="J180" s="13">
        <f>IF(B180="","",SUMIF(Bieu04A_12thang!$B:$B,B180,Bieu04A_12thang!$O:$O))</f>
        <v>18122</v>
      </c>
      <c r="K180" s="23"/>
      <c r="L180" s="13">
        <f>IF(B180="","",SUMIF(Bieu04A_12thang!$B:$B,B180,Bieu04A_12thang!$AB:$AB))</f>
        <v>37548784</v>
      </c>
      <c r="M180" s="12"/>
      <c r="N180" s="12"/>
      <c r="O180" s="12"/>
      <c r="P180" s="12"/>
    </row>
    <row r="181" spans="1:16" x14ac:dyDescent="0.3">
      <c r="A181" s="11">
        <v>175</v>
      </c>
      <c r="B181" s="12" t="s">
        <v>373</v>
      </c>
      <c r="C181" s="12" t="s">
        <v>646</v>
      </c>
      <c r="D181" s="12" t="s">
        <v>155</v>
      </c>
      <c r="E181" s="12">
        <v>1</v>
      </c>
      <c r="F181" s="12" t="s">
        <v>101</v>
      </c>
      <c r="G181" s="12" t="s">
        <v>757</v>
      </c>
      <c r="H181" s="12" t="s">
        <v>774</v>
      </c>
      <c r="I181" s="14">
        <v>10</v>
      </c>
      <c r="J181" s="13">
        <f>IF(B181="","",SUMIF(Bieu04A_12thang!$B:$B,B181,Bieu04A_12thang!$O:$O))</f>
        <v>2898</v>
      </c>
      <c r="K181" s="23"/>
      <c r="L181" s="13">
        <f>IF(B181="","",SUMIF(Bieu04A_12thang!$B:$B,B181,Bieu04A_12thang!$AB:$AB))</f>
        <v>6004656</v>
      </c>
      <c r="M181" s="12"/>
      <c r="N181" s="12"/>
      <c r="O181" s="12"/>
      <c r="P181" s="12"/>
    </row>
    <row r="182" spans="1:16" x14ac:dyDescent="0.3">
      <c r="A182" s="11">
        <v>176</v>
      </c>
      <c r="B182" s="12" t="s">
        <v>402</v>
      </c>
      <c r="C182" s="12" t="s">
        <v>669</v>
      </c>
      <c r="D182" s="12" t="s">
        <v>155</v>
      </c>
      <c r="E182" s="12">
        <v>1</v>
      </c>
      <c r="F182" s="12" t="s">
        <v>756</v>
      </c>
      <c r="G182" s="12" t="s">
        <v>757</v>
      </c>
      <c r="H182" s="12" t="s">
        <v>774</v>
      </c>
      <c r="I182" s="14">
        <v>10</v>
      </c>
      <c r="J182" s="13">
        <f>IF(B182="","",SUMIF(Bieu04A_12thang!$B:$B,B182,Bieu04A_12thang!$O:$O))</f>
        <v>18012</v>
      </c>
      <c r="K182" s="23"/>
      <c r="L182" s="13">
        <f>IF(B182="","",SUMIF(Bieu04A_12thang!$B:$B,B182,Bieu04A_12thang!$AB:$AB))</f>
        <v>37320864</v>
      </c>
      <c r="M182" s="12"/>
      <c r="N182" s="12"/>
      <c r="O182" s="12"/>
      <c r="P182" s="12"/>
    </row>
    <row r="183" spans="1:16" x14ac:dyDescent="0.3">
      <c r="A183" s="11">
        <v>177</v>
      </c>
      <c r="B183" s="12" t="s">
        <v>406</v>
      </c>
      <c r="C183" s="12" t="s">
        <v>673</v>
      </c>
      <c r="D183" s="12" t="s">
        <v>155</v>
      </c>
      <c r="E183" s="12">
        <v>1</v>
      </c>
      <c r="F183" s="12" t="s">
        <v>101</v>
      </c>
      <c r="G183" s="12" t="s">
        <v>757</v>
      </c>
      <c r="H183" s="12" t="s">
        <v>774</v>
      </c>
      <c r="I183" s="14">
        <v>10</v>
      </c>
      <c r="J183" s="13">
        <f>IF(B183="","",SUMIF(Bieu04A_12thang!$B:$B,B183,Bieu04A_12thang!$O:$O))</f>
        <v>3170</v>
      </c>
      <c r="K183" s="23"/>
      <c r="L183" s="13">
        <f>IF(B183="","",SUMIF(Bieu04A_12thang!$B:$B,B183,Bieu04A_12thang!$AB:$AB))</f>
        <v>6568240</v>
      </c>
      <c r="M183" s="12"/>
      <c r="N183" s="12"/>
      <c r="O183" s="12"/>
      <c r="P183" s="12"/>
    </row>
    <row r="184" spans="1:16" x14ac:dyDescent="0.3">
      <c r="A184" s="11">
        <v>178</v>
      </c>
      <c r="B184" s="12" t="s">
        <v>407</v>
      </c>
      <c r="C184" s="12" t="s">
        <v>673</v>
      </c>
      <c r="D184" s="12" t="s">
        <v>155</v>
      </c>
      <c r="E184" s="12">
        <v>1</v>
      </c>
      <c r="F184" s="12" t="s">
        <v>101</v>
      </c>
      <c r="G184" s="12" t="s">
        <v>758</v>
      </c>
      <c r="H184" s="12" t="s">
        <v>774</v>
      </c>
      <c r="I184" s="14">
        <v>127</v>
      </c>
      <c r="J184" s="13">
        <f>IF(B184="","",SUMIF(Bieu04A_12thang!$B:$B,B184,Bieu04A_12thang!$O:$O))</f>
        <v>10164</v>
      </c>
      <c r="K184" s="23"/>
      <c r="L184" s="13">
        <f>IF(B184="","",SUMIF(Bieu04A_12thang!$B:$B,B184,Bieu04A_12thang!$AB:$AB))</f>
        <v>21059808</v>
      </c>
      <c r="M184" s="12"/>
      <c r="N184" s="12"/>
      <c r="O184" s="12"/>
      <c r="P184" s="12"/>
    </row>
    <row r="185" spans="1:16" x14ac:dyDescent="0.3">
      <c r="A185" s="11">
        <v>179</v>
      </c>
      <c r="B185" s="12" t="s">
        <v>408</v>
      </c>
      <c r="C185" s="12" t="s">
        <v>674</v>
      </c>
      <c r="D185" s="12" t="s">
        <v>155</v>
      </c>
      <c r="E185" s="12">
        <v>1</v>
      </c>
      <c r="F185" s="12" t="s">
        <v>101</v>
      </c>
      <c r="G185" s="12" t="s">
        <v>758</v>
      </c>
      <c r="H185" s="12" t="s">
        <v>774</v>
      </c>
      <c r="I185" s="14">
        <v>127</v>
      </c>
      <c r="J185" s="13">
        <f>IF(B185="","",SUMIF(Bieu04A_12thang!$B:$B,B185,Bieu04A_12thang!$O:$O))</f>
        <v>10181</v>
      </c>
      <c r="K185" s="23"/>
      <c r="L185" s="13">
        <f>IF(B185="","",SUMIF(Bieu04A_12thang!$B:$B,B185,Bieu04A_12thang!$AB:$AB))</f>
        <v>21095032</v>
      </c>
      <c r="M185" s="12"/>
      <c r="N185" s="12"/>
      <c r="O185" s="12"/>
      <c r="P185" s="12"/>
    </row>
    <row r="186" spans="1:16" x14ac:dyDescent="0.3">
      <c r="A186" s="11">
        <v>180</v>
      </c>
      <c r="B186" s="12" t="s">
        <v>423</v>
      </c>
      <c r="C186" s="12" t="s">
        <v>687</v>
      </c>
      <c r="D186" s="12" t="s">
        <v>155</v>
      </c>
      <c r="E186" s="12">
        <v>1</v>
      </c>
      <c r="F186" s="12" t="s">
        <v>101</v>
      </c>
      <c r="G186" s="12" t="s">
        <v>757</v>
      </c>
      <c r="H186" s="12" t="s">
        <v>774</v>
      </c>
      <c r="I186" s="14">
        <v>10</v>
      </c>
      <c r="J186" s="13">
        <f>IF(B186="","",SUMIF(Bieu04A_12thang!$B:$B,B186,Bieu04A_12thang!$O:$O))</f>
        <v>4963</v>
      </c>
      <c r="K186" s="23"/>
      <c r="L186" s="13">
        <f>IF(B186="","",SUMIF(Bieu04A_12thang!$B:$B,B186,Bieu04A_12thang!$AB:$AB))</f>
        <v>10283336</v>
      </c>
      <c r="M186" s="12"/>
      <c r="N186" s="12"/>
      <c r="O186" s="12"/>
      <c r="P186" s="12"/>
    </row>
    <row r="187" spans="1:16" x14ac:dyDescent="0.3">
      <c r="A187" s="11">
        <v>181</v>
      </c>
      <c r="B187" s="12" t="s">
        <v>424</v>
      </c>
      <c r="C187" s="12" t="s">
        <v>687</v>
      </c>
      <c r="D187" s="12" t="s">
        <v>155</v>
      </c>
      <c r="E187" s="12">
        <v>1</v>
      </c>
      <c r="F187" s="12" t="s">
        <v>101</v>
      </c>
      <c r="G187" s="12" t="s">
        <v>757</v>
      </c>
      <c r="H187" s="12" t="s">
        <v>774</v>
      </c>
      <c r="I187" s="14">
        <v>10</v>
      </c>
      <c r="J187" s="13">
        <f>IF(B187="","",SUMIF(Bieu04A_12thang!$B:$B,B187,Bieu04A_12thang!$O:$O))</f>
        <v>2580</v>
      </c>
      <c r="K187" s="23"/>
      <c r="L187" s="13">
        <f>IF(B187="","",SUMIF(Bieu04A_12thang!$B:$B,B187,Bieu04A_12thang!$AB:$AB))</f>
        <v>5345760</v>
      </c>
      <c r="M187" s="12"/>
      <c r="N187" s="12"/>
      <c r="O187" s="12"/>
      <c r="P187" s="12"/>
    </row>
    <row r="188" spans="1:16" x14ac:dyDescent="0.3">
      <c r="A188" s="11">
        <v>182</v>
      </c>
      <c r="B188" s="12" t="s">
        <v>425</v>
      </c>
      <c r="C188" s="12" t="s">
        <v>687</v>
      </c>
      <c r="D188" s="12" t="s">
        <v>155</v>
      </c>
      <c r="E188" s="12">
        <v>1</v>
      </c>
      <c r="F188" s="12" t="s">
        <v>101</v>
      </c>
      <c r="G188" s="12" t="s">
        <v>758</v>
      </c>
      <c r="H188" s="12" t="s">
        <v>774</v>
      </c>
      <c r="I188" s="14">
        <v>127</v>
      </c>
      <c r="J188" s="13">
        <f>IF(B188="","",SUMIF(Bieu04A_12thang!$B:$B,B188,Bieu04A_12thang!$O:$O))</f>
        <v>16328</v>
      </c>
      <c r="K188" s="23"/>
      <c r="L188" s="13">
        <f>IF(B188="","",SUMIF(Bieu04A_12thang!$B:$B,B188,Bieu04A_12thang!$AB:$AB))</f>
        <v>33831616</v>
      </c>
      <c r="M188" s="12"/>
      <c r="N188" s="12"/>
      <c r="O188" s="12"/>
      <c r="P188" s="12"/>
    </row>
    <row r="189" spans="1:16" x14ac:dyDescent="0.3">
      <c r="A189" s="11">
        <v>183</v>
      </c>
      <c r="B189" s="12" t="s">
        <v>426</v>
      </c>
      <c r="C189" s="12" t="s">
        <v>688</v>
      </c>
      <c r="D189" s="12" t="s">
        <v>155</v>
      </c>
      <c r="E189" s="12">
        <v>1</v>
      </c>
      <c r="F189" s="12" t="s">
        <v>101</v>
      </c>
      <c r="G189" s="12" t="s">
        <v>758</v>
      </c>
      <c r="H189" s="12" t="s">
        <v>774</v>
      </c>
      <c r="I189" s="14">
        <v>127</v>
      </c>
      <c r="J189" s="13">
        <f>IF(B189="","",SUMIF(Bieu04A_12thang!$B:$B,B189,Bieu04A_12thang!$O:$O))</f>
        <v>7513</v>
      </c>
      <c r="K189" s="23"/>
      <c r="L189" s="13">
        <f>IF(B189="","",SUMIF(Bieu04A_12thang!$B:$B,B189,Bieu04A_12thang!$AB:$AB))</f>
        <v>15566936</v>
      </c>
      <c r="M189" s="12"/>
      <c r="N189" s="12"/>
      <c r="O189" s="12"/>
      <c r="P189" s="12"/>
    </row>
    <row r="190" spans="1:16" x14ac:dyDescent="0.3">
      <c r="A190" s="11">
        <v>184</v>
      </c>
      <c r="B190" s="12" t="s">
        <v>464</v>
      </c>
      <c r="C190" s="12" t="s">
        <v>711</v>
      </c>
      <c r="D190" s="12" t="s">
        <v>155</v>
      </c>
      <c r="E190" s="12">
        <v>1</v>
      </c>
      <c r="F190" s="12" t="s">
        <v>101</v>
      </c>
      <c r="G190" s="12" t="s">
        <v>758</v>
      </c>
      <c r="H190" s="12" t="s">
        <v>774</v>
      </c>
      <c r="I190" s="14">
        <v>127</v>
      </c>
      <c r="J190" s="13">
        <f>IF(B190="","",SUMIF(Bieu04A_12thang!$B:$B,B190,Bieu04A_12thang!$O:$O))</f>
        <v>21628</v>
      </c>
      <c r="K190" s="23"/>
      <c r="L190" s="13">
        <f>IF(B190="","",SUMIF(Bieu04A_12thang!$B:$B,B190,Bieu04A_12thang!$AB:$AB))</f>
        <v>44813216</v>
      </c>
      <c r="M190" s="12"/>
      <c r="N190" s="12"/>
      <c r="O190" s="12"/>
      <c r="P190" s="12"/>
    </row>
    <row r="191" spans="1:16" x14ac:dyDescent="0.3">
      <c r="A191" s="11">
        <v>185</v>
      </c>
      <c r="B191" s="12" t="s">
        <v>482</v>
      </c>
      <c r="C191" s="12" t="s">
        <v>725</v>
      </c>
      <c r="D191" s="12" t="s">
        <v>155</v>
      </c>
      <c r="E191" s="12">
        <v>2</v>
      </c>
      <c r="F191" s="12" t="s">
        <v>101</v>
      </c>
      <c r="G191" s="12" t="s">
        <v>757</v>
      </c>
      <c r="H191" s="12" t="s">
        <v>774</v>
      </c>
      <c r="I191" s="14">
        <v>10</v>
      </c>
      <c r="J191" s="13">
        <f>IF(B191="","",SUMIF(Bieu04A_12thang!$B:$B,B191,Bieu04A_12thang!$O:$O))</f>
        <v>2315</v>
      </c>
      <c r="K191" s="23"/>
      <c r="L191" s="13">
        <f>IF(B191="","",SUMIF(Bieu04A_12thang!$B:$B,B191,Bieu04A_12thang!$AB:$AB))</f>
        <v>5153190</v>
      </c>
      <c r="M191" s="12"/>
      <c r="N191" s="12"/>
      <c r="O191" s="12"/>
      <c r="P191" s="12"/>
    </row>
    <row r="192" spans="1:16" x14ac:dyDescent="0.3">
      <c r="A192" s="11">
        <v>186</v>
      </c>
      <c r="B192" s="12" t="s">
        <v>483</v>
      </c>
      <c r="C192" s="12" t="s">
        <v>725</v>
      </c>
      <c r="D192" s="12" t="s">
        <v>155</v>
      </c>
      <c r="E192" s="12">
        <v>2</v>
      </c>
      <c r="F192" s="12" t="s">
        <v>101</v>
      </c>
      <c r="G192" s="12" t="s">
        <v>758</v>
      </c>
      <c r="H192" s="12" t="s">
        <v>774</v>
      </c>
      <c r="I192" s="14">
        <v>127</v>
      </c>
      <c r="J192" s="13">
        <f>IF(B192="","",SUMIF(Bieu04A_12thang!$B:$B,B192,Bieu04A_12thang!$O:$O))</f>
        <v>40655</v>
      </c>
      <c r="K192" s="23"/>
      <c r="L192" s="13">
        <f>IF(B192="","",SUMIF(Bieu04A_12thang!$B:$B,B192,Bieu04A_12thang!$AB:$AB))</f>
        <v>90498030</v>
      </c>
      <c r="M192" s="12"/>
      <c r="N192" s="12"/>
      <c r="O192" s="12"/>
      <c r="P192" s="12"/>
    </row>
    <row r="193" spans="1:16" x14ac:dyDescent="0.3">
      <c r="A193" s="11">
        <v>187</v>
      </c>
      <c r="B193" s="12" t="s">
        <v>484</v>
      </c>
      <c r="C193" s="12" t="s">
        <v>725</v>
      </c>
      <c r="D193" s="12" t="s">
        <v>155</v>
      </c>
      <c r="E193" s="12">
        <v>2</v>
      </c>
      <c r="F193" s="12" t="s">
        <v>101</v>
      </c>
      <c r="G193" s="12" t="s">
        <v>757</v>
      </c>
      <c r="H193" s="12" t="s">
        <v>774</v>
      </c>
      <c r="I193" s="14">
        <v>10</v>
      </c>
      <c r="J193" s="13">
        <f>IF(B193="","",SUMIF(Bieu04A_12thang!$B:$B,B193,Bieu04A_12thang!$O:$O))</f>
        <v>394</v>
      </c>
      <c r="K193" s="23"/>
      <c r="L193" s="13">
        <f>IF(B193="","",SUMIF(Bieu04A_12thang!$B:$B,B193,Bieu04A_12thang!$AB:$AB))</f>
        <v>877044</v>
      </c>
      <c r="M193" s="12"/>
      <c r="N193" s="12"/>
      <c r="O193" s="12"/>
      <c r="P193" s="12"/>
    </row>
    <row r="194" spans="1:16" x14ac:dyDescent="0.3">
      <c r="A194" s="11">
        <v>188</v>
      </c>
      <c r="B194" s="12" t="s">
        <v>485</v>
      </c>
      <c r="C194" s="12" t="s">
        <v>725</v>
      </c>
      <c r="D194" s="12" t="s">
        <v>155</v>
      </c>
      <c r="E194" s="12">
        <v>2</v>
      </c>
      <c r="F194" s="12" t="s">
        <v>101</v>
      </c>
      <c r="G194" s="12" t="s">
        <v>757</v>
      </c>
      <c r="H194" s="12" t="s">
        <v>774</v>
      </c>
      <c r="I194" s="14">
        <v>10</v>
      </c>
      <c r="J194" s="13">
        <f>IF(B194="","",SUMIF(Bieu04A_12thang!$B:$B,B194,Bieu04A_12thang!$O:$O))</f>
        <v>1199</v>
      </c>
      <c r="K194" s="23"/>
      <c r="L194" s="13">
        <f>IF(B194="","",SUMIF(Bieu04A_12thang!$B:$B,B194,Bieu04A_12thang!$AB:$AB))</f>
        <v>2668974</v>
      </c>
      <c r="M194" s="12"/>
      <c r="N194" s="12"/>
      <c r="O194" s="12"/>
      <c r="P194" s="12"/>
    </row>
    <row r="195" spans="1:16" x14ac:dyDescent="0.3">
      <c r="A195" s="11">
        <v>189</v>
      </c>
      <c r="B195" s="12" t="s">
        <v>486</v>
      </c>
      <c r="C195" s="12" t="s">
        <v>726</v>
      </c>
      <c r="D195" s="12" t="s">
        <v>155</v>
      </c>
      <c r="E195" s="12">
        <v>2</v>
      </c>
      <c r="F195" s="12" t="s">
        <v>101</v>
      </c>
      <c r="G195" s="12" t="s">
        <v>757</v>
      </c>
      <c r="H195" s="12" t="s">
        <v>774</v>
      </c>
      <c r="I195" s="14">
        <v>10</v>
      </c>
      <c r="J195" s="13">
        <f>IF(B195="","",SUMIF(Bieu04A_12thang!$B:$B,B195,Bieu04A_12thang!$O:$O))</f>
        <v>1435</v>
      </c>
      <c r="K195" s="23"/>
      <c r="L195" s="13">
        <f>IF(B195="","",SUMIF(Bieu04A_12thang!$B:$B,B195,Bieu04A_12thang!$AB:$AB))</f>
        <v>3194310</v>
      </c>
      <c r="M195" s="12"/>
      <c r="N195" s="12"/>
      <c r="O195" s="12"/>
      <c r="P195" s="12"/>
    </row>
    <row r="196" spans="1:16" x14ac:dyDescent="0.3">
      <c r="A196" s="11">
        <v>190</v>
      </c>
      <c r="B196" s="12" t="s">
        <v>487</v>
      </c>
      <c r="C196" s="12" t="s">
        <v>726</v>
      </c>
      <c r="D196" s="12" t="s">
        <v>155</v>
      </c>
      <c r="E196" s="12">
        <v>2</v>
      </c>
      <c r="F196" s="12" t="s">
        <v>101</v>
      </c>
      <c r="G196" s="12" t="s">
        <v>757</v>
      </c>
      <c r="H196" s="12" t="s">
        <v>774</v>
      </c>
      <c r="I196" s="14">
        <v>10</v>
      </c>
      <c r="J196" s="13">
        <f>IF(B196="","",SUMIF(Bieu04A_12thang!$B:$B,B196,Bieu04A_12thang!$O:$O))</f>
        <v>315</v>
      </c>
      <c r="K196" s="23"/>
      <c r="L196" s="13">
        <f>IF(B196="","",SUMIF(Bieu04A_12thang!$B:$B,B196,Bieu04A_12thang!$AB:$AB))</f>
        <v>701190</v>
      </c>
      <c r="M196" s="12"/>
      <c r="N196" s="12"/>
      <c r="O196" s="12"/>
      <c r="P196" s="12"/>
    </row>
    <row r="197" spans="1:16" x14ac:dyDescent="0.3">
      <c r="A197" s="11">
        <v>191</v>
      </c>
      <c r="B197" s="12" t="s">
        <v>488</v>
      </c>
      <c r="C197" s="12" t="s">
        <v>726</v>
      </c>
      <c r="D197" s="12" t="s">
        <v>155</v>
      </c>
      <c r="E197" s="12">
        <v>2</v>
      </c>
      <c r="F197" s="12" t="s">
        <v>101</v>
      </c>
      <c r="G197" s="12" t="s">
        <v>757</v>
      </c>
      <c r="H197" s="12" t="s">
        <v>774</v>
      </c>
      <c r="I197" s="14">
        <v>10</v>
      </c>
      <c r="J197" s="13">
        <f>IF(B197="","",SUMIF(Bieu04A_12thang!$B:$B,B197,Bieu04A_12thang!$O:$O))</f>
        <v>426</v>
      </c>
      <c r="K197" s="23"/>
      <c r="L197" s="13">
        <f>IF(B197="","",SUMIF(Bieu04A_12thang!$B:$B,B197,Bieu04A_12thang!$AB:$AB))</f>
        <v>948276</v>
      </c>
      <c r="M197" s="12"/>
      <c r="N197" s="12"/>
      <c r="O197" s="12"/>
      <c r="P197" s="12"/>
    </row>
    <row r="198" spans="1:16" x14ac:dyDescent="0.3">
      <c r="A198" s="11">
        <v>192</v>
      </c>
      <c r="B198" s="12" t="s">
        <v>489</v>
      </c>
      <c r="C198" s="12" t="s">
        <v>726</v>
      </c>
      <c r="D198" s="12" t="s">
        <v>155</v>
      </c>
      <c r="E198" s="12">
        <v>2</v>
      </c>
      <c r="F198" s="12" t="s">
        <v>101</v>
      </c>
      <c r="G198" s="12" t="s">
        <v>757</v>
      </c>
      <c r="H198" s="12" t="s">
        <v>774</v>
      </c>
      <c r="I198" s="14">
        <v>10</v>
      </c>
      <c r="J198" s="13">
        <f>IF(B198="","",SUMIF(Bieu04A_12thang!$B:$B,B198,Bieu04A_12thang!$O:$O))</f>
        <v>102</v>
      </c>
      <c r="K198" s="23"/>
      <c r="L198" s="13">
        <f>IF(B198="","",SUMIF(Bieu04A_12thang!$B:$B,B198,Bieu04A_12thang!$AB:$AB))</f>
        <v>227052</v>
      </c>
      <c r="M198" s="12"/>
      <c r="N198" s="12"/>
      <c r="O198" s="12"/>
      <c r="P198" s="12"/>
    </row>
    <row r="199" spans="1:16" x14ac:dyDescent="0.3">
      <c r="A199" s="11">
        <v>193</v>
      </c>
      <c r="B199" s="12" t="s">
        <v>490</v>
      </c>
      <c r="C199" s="12" t="s">
        <v>726</v>
      </c>
      <c r="D199" s="12" t="s">
        <v>155</v>
      </c>
      <c r="E199" s="12">
        <v>2</v>
      </c>
      <c r="F199" s="12" t="s">
        <v>101</v>
      </c>
      <c r="G199" s="12" t="s">
        <v>757</v>
      </c>
      <c r="H199" s="12" t="s">
        <v>774</v>
      </c>
      <c r="I199" s="14">
        <v>10</v>
      </c>
      <c r="J199" s="13">
        <f>IF(B199="","",SUMIF(Bieu04A_12thang!$B:$B,B199,Bieu04A_12thang!$O:$O))</f>
        <v>775</v>
      </c>
      <c r="K199" s="23"/>
      <c r="L199" s="13">
        <f>IF(B199="","",SUMIF(Bieu04A_12thang!$B:$B,B199,Bieu04A_12thang!$AB:$AB))</f>
        <v>1725150</v>
      </c>
      <c r="M199" s="12"/>
      <c r="N199" s="12"/>
      <c r="O199" s="12"/>
      <c r="P199" s="12"/>
    </row>
    <row r="200" spans="1:16" x14ac:dyDescent="0.3">
      <c r="A200" s="11">
        <v>194</v>
      </c>
      <c r="B200" s="12" t="s">
        <v>491</v>
      </c>
      <c r="C200" s="12" t="s">
        <v>726</v>
      </c>
      <c r="D200" s="12" t="s">
        <v>155</v>
      </c>
      <c r="E200" s="12">
        <v>2</v>
      </c>
      <c r="F200" s="12" t="s">
        <v>101</v>
      </c>
      <c r="G200" s="12" t="s">
        <v>757</v>
      </c>
      <c r="H200" s="12" t="s">
        <v>774</v>
      </c>
      <c r="I200" s="14">
        <v>10</v>
      </c>
      <c r="J200" s="13">
        <f>IF(B200="","",SUMIF(Bieu04A_12thang!$B:$B,B200,Bieu04A_12thang!$O:$O))</f>
        <v>292</v>
      </c>
      <c r="K200" s="23"/>
      <c r="L200" s="13">
        <f>IF(B200="","",SUMIF(Bieu04A_12thang!$B:$B,B200,Bieu04A_12thang!$AB:$AB))</f>
        <v>649992</v>
      </c>
      <c r="M200" s="12"/>
      <c r="N200" s="12"/>
      <c r="O200" s="12"/>
      <c r="P200" s="12"/>
    </row>
    <row r="201" spans="1:16" x14ac:dyDescent="0.3">
      <c r="A201" s="11">
        <v>195</v>
      </c>
      <c r="B201" s="12" t="s">
        <v>492</v>
      </c>
      <c r="C201" s="12" t="s">
        <v>726</v>
      </c>
      <c r="D201" s="12" t="s">
        <v>155</v>
      </c>
      <c r="E201" s="12">
        <v>2</v>
      </c>
      <c r="F201" s="12" t="s">
        <v>101</v>
      </c>
      <c r="G201" s="12" t="s">
        <v>757</v>
      </c>
      <c r="H201" s="12" t="s">
        <v>774</v>
      </c>
      <c r="I201" s="14">
        <v>10</v>
      </c>
      <c r="J201" s="13">
        <f>IF(B201="","",SUMIF(Bieu04A_12thang!$B:$B,B201,Bieu04A_12thang!$O:$O))</f>
        <v>5624</v>
      </c>
      <c r="K201" s="23"/>
      <c r="L201" s="13">
        <f>IF(B201="","",SUMIF(Bieu04A_12thang!$B:$B,B201,Bieu04A_12thang!$AB:$AB))</f>
        <v>12519024</v>
      </c>
      <c r="M201" s="12"/>
      <c r="N201" s="12"/>
      <c r="O201" s="12"/>
      <c r="P201" s="12"/>
    </row>
    <row r="202" spans="1:16" x14ac:dyDescent="0.3">
      <c r="A202" s="11">
        <v>196</v>
      </c>
      <c r="B202" s="12" t="s">
        <v>493</v>
      </c>
      <c r="C202" s="12" t="s">
        <v>726</v>
      </c>
      <c r="D202" s="12" t="s">
        <v>155</v>
      </c>
      <c r="E202" s="12">
        <v>2</v>
      </c>
      <c r="F202" s="12" t="s">
        <v>101</v>
      </c>
      <c r="G202" s="12" t="s">
        <v>757</v>
      </c>
      <c r="H202" s="12" t="s">
        <v>774</v>
      </c>
      <c r="I202" s="14">
        <v>10</v>
      </c>
      <c r="J202" s="13">
        <f>IF(B202="","",SUMIF(Bieu04A_12thang!$B:$B,B202,Bieu04A_12thang!$O:$O))</f>
        <v>47882</v>
      </c>
      <c r="K202" s="23"/>
      <c r="L202" s="13">
        <f>IF(B202="","",SUMIF(Bieu04A_12thang!$B:$B,B202,Bieu04A_12thang!$AB:$AB))</f>
        <v>106585332</v>
      </c>
      <c r="M202" s="12"/>
      <c r="N202" s="12"/>
      <c r="O202" s="12"/>
      <c r="P202" s="12"/>
    </row>
    <row r="203" spans="1:16" x14ac:dyDescent="0.3">
      <c r="A203" s="11">
        <v>197</v>
      </c>
      <c r="B203" s="12" t="s">
        <v>494</v>
      </c>
      <c r="C203" s="12" t="s">
        <v>726</v>
      </c>
      <c r="D203" s="12" t="s">
        <v>155</v>
      </c>
      <c r="E203" s="12">
        <v>2</v>
      </c>
      <c r="F203" s="12" t="s">
        <v>101</v>
      </c>
      <c r="G203" s="12" t="s">
        <v>757</v>
      </c>
      <c r="H203" s="12" t="s">
        <v>774</v>
      </c>
      <c r="I203" s="14">
        <v>10</v>
      </c>
      <c r="J203" s="13">
        <f>IF(B203="","",SUMIF(Bieu04A_12thang!$B:$B,B203,Bieu04A_12thang!$O:$O))</f>
        <v>23313</v>
      </c>
      <c r="K203" s="23"/>
      <c r="L203" s="13">
        <f>IF(B203="","",SUMIF(Bieu04A_12thang!$B:$B,B203,Bieu04A_12thang!$AB:$AB))</f>
        <v>51894738</v>
      </c>
      <c r="M203" s="12"/>
      <c r="N203" s="12"/>
      <c r="O203" s="12"/>
      <c r="P203" s="12"/>
    </row>
    <row r="204" spans="1:16" x14ac:dyDescent="0.3">
      <c r="A204" s="11">
        <v>198</v>
      </c>
      <c r="B204" s="12" t="s">
        <v>495</v>
      </c>
      <c r="C204" s="12" t="s">
        <v>726</v>
      </c>
      <c r="D204" s="12" t="s">
        <v>155</v>
      </c>
      <c r="E204" s="12">
        <v>2</v>
      </c>
      <c r="F204" s="12" t="s">
        <v>101</v>
      </c>
      <c r="G204" s="12" t="s">
        <v>757</v>
      </c>
      <c r="H204" s="12" t="s">
        <v>774</v>
      </c>
      <c r="I204" s="14">
        <v>10</v>
      </c>
      <c r="J204" s="13">
        <f>IF(B204="","",SUMIF(Bieu04A_12thang!$B:$B,B204,Bieu04A_12thang!$O:$O))</f>
        <v>18627</v>
      </c>
      <c r="K204" s="23"/>
      <c r="L204" s="13">
        <f>IF(B204="","",SUMIF(Bieu04A_12thang!$B:$B,B204,Bieu04A_12thang!$AB:$AB))</f>
        <v>41463702</v>
      </c>
      <c r="M204" s="12"/>
      <c r="N204" s="12"/>
      <c r="O204" s="12"/>
      <c r="P204" s="12"/>
    </row>
    <row r="205" spans="1:16" x14ac:dyDescent="0.3">
      <c r="A205" s="11">
        <v>199</v>
      </c>
      <c r="B205" s="12" t="s">
        <v>496</v>
      </c>
      <c r="C205" s="12" t="s">
        <v>727</v>
      </c>
      <c r="D205" s="12" t="s">
        <v>155</v>
      </c>
      <c r="E205" s="12">
        <v>2</v>
      </c>
      <c r="F205" s="12" t="s">
        <v>101</v>
      </c>
      <c r="G205" s="12" t="s">
        <v>757</v>
      </c>
      <c r="H205" s="12" t="s">
        <v>774</v>
      </c>
      <c r="I205" s="14">
        <v>10</v>
      </c>
      <c r="J205" s="13">
        <f>IF(B205="","",SUMIF(Bieu04A_12thang!$B:$B,B205,Bieu04A_12thang!$O:$O))</f>
        <v>1066</v>
      </c>
      <c r="K205" s="23"/>
      <c r="L205" s="13">
        <f>IF(B205="","",SUMIF(Bieu04A_12thang!$B:$B,B205,Bieu04A_12thang!$AB:$AB))</f>
        <v>2372916</v>
      </c>
      <c r="M205" s="12"/>
      <c r="N205" s="12"/>
      <c r="O205" s="12"/>
      <c r="P205" s="12"/>
    </row>
    <row r="206" spans="1:16" x14ac:dyDescent="0.3">
      <c r="A206" s="11">
        <v>200</v>
      </c>
      <c r="B206" s="12" t="s">
        <v>497</v>
      </c>
      <c r="C206" s="12" t="s">
        <v>727</v>
      </c>
      <c r="D206" s="12" t="s">
        <v>155</v>
      </c>
      <c r="E206" s="12">
        <v>2</v>
      </c>
      <c r="F206" s="12" t="s">
        <v>101</v>
      </c>
      <c r="G206" s="12" t="s">
        <v>757</v>
      </c>
      <c r="H206" s="12" t="s">
        <v>774</v>
      </c>
      <c r="I206" s="14">
        <v>10</v>
      </c>
      <c r="J206" s="13">
        <f>IF(B206="","",SUMIF(Bieu04A_12thang!$B:$B,B206,Bieu04A_12thang!$O:$O))</f>
        <v>1545</v>
      </c>
      <c r="K206" s="23"/>
      <c r="L206" s="13">
        <f>IF(B206="","",SUMIF(Bieu04A_12thang!$B:$B,B206,Bieu04A_12thang!$AB:$AB))</f>
        <v>3439170</v>
      </c>
      <c r="M206" s="12"/>
      <c r="N206" s="12"/>
      <c r="O206" s="12"/>
      <c r="P206" s="12"/>
    </row>
    <row r="207" spans="1:16" x14ac:dyDescent="0.3">
      <c r="A207" s="11">
        <v>201</v>
      </c>
      <c r="B207" s="12" t="s">
        <v>498</v>
      </c>
      <c r="C207" s="12" t="s">
        <v>728</v>
      </c>
      <c r="D207" s="12" t="s">
        <v>155</v>
      </c>
      <c r="E207" s="12">
        <v>2</v>
      </c>
      <c r="F207" s="12" t="s">
        <v>101</v>
      </c>
      <c r="G207" s="12" t="s">
        <v>757</v>
      </c>
      <c r="H207" s="12" t="s">
        <v>774</v>
      </c>
      <c r="I207" s="14">
        <v>10</v>
      </c>
      <c r="J207" s="13">
        <f>IF(B207="","",SUMIF(Bieu04A_12thang!$B:$B,B207,Bieu04A_12thang!$O:$O))</f>
        <v>1633</v>
      </c>
      <c r="K207" s="23"/>
      <c r="L207" s="13">
        <f>IF(B207="","",SUMIF(Bieu04A_12thang!$B:$B,B207,Bieu04A_12thang!$AB:$AB))</f>
        <v>3635058</v>
      </c>
      <c r="M207" s="12"/>
      <c r="N207" s="12"/>
      <c r="O207" s="12"/>
      <c r="P207" s="12"/>
    </row>
    <row r="208" spans="1:16" x14ac:dyDescent="0.3">
      <c r="A208" s="11">
        <v>202</v>
      </c>
      <c r="B208" s="12" t="s">
        <v>499</v>
      </c>
      <c r="C208" s="12" t="s">
        <v>729</v>
      </c>
      <c r="D208" s="12" t="s">
        <v>155</v>
      </c>
      <c r="E208" s="12">
        <v>2</v>
      </c>
      <c r="F208" s="12" t="s">
        <v>101</v>
      </c>
      <c r="G208" s="12" t="s">
        <v>757</v>
      </c>
      <c r="H208" s="12" t="s">
        <v>774</v>
      </c>
      <c r="I208" s="14">
        <v>10</v>
      </c>
      <c r="J208" s="13">
        <f>IF(B208="","",SUMIF(Bieu04A_12thang!$B:$B,B208,Bieu04A_12thang!$O:$O))</f>
        <v>2176</v>
      </c>
      <c r="K208" s="23"/>
      <c r="L208" s="13">
        <f>IF(B208="","",SUMIF(Bieu04A_12thang!$B:$B,B208,Bieu04A_12thang!$AB:$AB))</f>
        <v>4843776</v>
      </c>
      <c r="M208" s="12"/>
      <c r="N208" s="12"/>
      <c r="O208" s="12"/>
      <c r="P208" s="12"/>
    </row>
    <row r="209" spans="1:16" x14ac:dyDescent="0.3">
      <c r="A209" s="11">
        <v>203</v>
      </c>
      <c r="B209" s="12" t="s">
        <v>500</v>
      </c>
      <c r="C209" s="12" t="s">
        <v>730</v>
      </c>
      <c r="D209" s="12" t="s">
        <v>155</v>
      </c>
      <c r="E209" s="12">
        <v>2</v>
      </c>
      <c r="F209" s="12" t="s">
        <v>101</v>
      </c>
      <c r="G209" s="12" t="s">
        <v>757</v>
      </c>
      <c r="H209" s="12" t="s">
        <v>774</v>
      </c>
      <c r="I209" s="14">
        <v>10</v>
      </c>
      <c r="J209" s="13">
        <f>IF(B209="","",SUMIF(Bieu04A_12thang!$B:$B,B209,Bieu04A_12thang!$O:$O))</f>
        <v>216</v>
      </c>
      <c r="K209" s="23"/>
      <c r="L209" s="13">
        <f>IF(B209="","",SUMIF(Bieu04A_12thang!$B:$B,B209,Bieu04A_12thang!$AB:$AB))</f>
        <v>480816</v>
      </c>
      <c r="M209" s="12"/>
      <c r="N209" s="12"/>
      <c r="O209" s="12"/>
      <c r="P209" s="12"/>
    </row>
    <row r="210" spans="1:16" x14ac:dyDescent="0.3">
      <c r="A210" s="11">
        <v>204</v>
      </c>
      <c r="B210" s="12" t="s">
        <v>501</v>
      </c>
      <c r="C210" s="12" t="s">
        <v>731</v>
      </c>
      <c r="D210" s="12" t="s">
        <v>155</v>
      </c>
      <c r="E210" s="12">
        <v>2</v>
      </c>
      <c r="F210" s="12" t="s">
        <v>101</v>
      </c>
      <c r="G210" s="12" t="s">
        <v>757</v>
      </c>
      <c r="H210" s="12" t="s">
        <v>774</v>
      </c>
      <c r="I210" s="14">
        <v>10</v>
      </c>
      <c r="J210" s="13">
        <f>IF(B210="","",SUMIF(Bieu04A_12thang!$B:$B,B210,Bieu04A_12thang!$O:$O))</f>
        <v>1244</v>
      </c>
      <c r="K210" s="23"/>
      <c r="L210" s="13">
        <f>IF(B210="","",SUMIF(Bieu04A_12thang!$B:$B,B210,Bieu04A_12thang!$AB:$AB))</f>
        <v>2769144</v>
      </c>
      <c r="M210" s="12"/>
      <c r="N210" s="12"/>
      <c r="O210" s="12"/>
      <c r="P210" s="12"/>
    </row>
    <row r="211" spans="1:16" x14ac:dyDescent="0.3">
      <c r="A211" s="11">
        <v>205</v>
      </c>
      <c r="B211" s="12" t="s">
        <v>560</v>
      </c>
      <c r="C211" s="12" t="s">
        <v>754</v>
      </c>
      <c r="D211" s="12" t="s">
        <v>155</v>
      </c>
      <c r="E211" s="12">
        <v>2</v>
      </c>
      <c r="F211" s="12" t="s">
        <v>101</v>
      </c>
      <c r="G211" s="12" t="s">
        <v>757</v>
      </c>
      <c r="H211" s="12" t="s">
        <v>774</v>
      </c>
      <c r="I211" s="14">
        <v>10</v>
      </c>
      <c r="J211" s="13">
        <f>IF(B211="","",SUMIF(Bieu04A_12thang!$B:$B,B211,Bieu04A_12thang!$O:$O))</f>
        <v>7449</v>
      </c>
      <c r="K211" s="23"/>
      <c r="L211" s="13">
        <f>IF(B211="","",SUMIF(Bieu04A_12thang!$B:$B,B211,Bieu04A_12thang!$AB:$AB))</f>
        <v>16581474</v>
      </c>
      <c r="M211" s="12"/>
      <c r="N211" s="12"/>
      <c r="O211" s="12"/>
      <c r="P211" s="12"/>
    </row>
    <row r="212" spans="1:16" x14ac:dyDescent="0.3">
      <c r="A212" s="11">
        <v>206</v>
      </c>
      <c r="B212" s="12" t="s">
        <v>160</v>
      </c>
      <c r="C212" s="12" t="s">
        <v>565</v>
      </c>
      <c r="D212" s="12" t="s">
        <v>151</v>
      </c>
      <c r="E212" s="12">
        <v>2</v>
      </c>
      <c r="F212" s="12" t="s">
        <v>101</v>
      </c>
      <c r="G212" s="12" t="s">
        <v>757</v>
      </c>
      <c r="H212" s="12" t="s">
        <v>774</v>
      </c>
      <c r="I212" s="14">
        <v>10</v>
      </c>
      <c r="J212" s="13">
        <f>IF(B212="","",SUMIF(Bieu04A_12thang!$B:$B,B212,Bieu04A_12thang!$O:$O))</f>
        <v>18057</v>
      </c>
      <c r="K212" s="23"/>
      <c r="L212" s="13">
        <f>IF(B212="","",SUMIF(Bieu04A_12thang!$B:$B,B212,Bieu04A_12thang!$AB:$AB))</f>
        <v>40194882</v>
      </c>
      <c r="M212" s="12"/>
      <c r="N212" s="12"/>
      <c r="O212" s="12"/>
      <c r="P212" s="12"/>
    </row>
    <row r="213" spans="1:16" x14ac:dyDescent="0.3">
      <c r="A213" s="11">
        <v>207</v>
      </c>
      <c r="B213" s="12" t="s">
        <v>175</v>
      </c>
      <c r="C213" s="12" t="s">
        <v>570</v>
      </c>
      <c r="D213" s="12" t="s">
        <v>151</v>
      </c>
      <c r="E213" s="12">
        <v>2</v>
      </c>
      <c r="F213" s="12" t="s">
        <v>101</v>
      </c>
      <c r="G213" s="12" t="s">
        <v>757</v>
      </c>
      <c r="H213" s="12" t="s">
        <v>774</v>
      </c>
      <c r="I213" s="14">
        <v>10</v>
      </c>
      <c r="J213" s="13">
        <f>IF(B213="","",SUMIF(Bieu04A_12thang!$B:$B,B213,Bieu04A_12thang!$O:$O))</f>
        <v>114</v>
      </c>
      <c r="K213" s="23"/>
      <c r="L213" s="13">
        <f>IF(B213="","",SUMIF(Bieu04A_12thang!$B:$B,B213,Bieu04A_12thang!$AB:$AB))</f>
        <v>253764</v>
      </c>
      <c r="M213" s="12"/>
      <c r="N213" s="12"/>
      <c r="O213" s="12"/>
      <c r="P213" s="12"/>
    </row>
    <row r="214" spans="1:16" x14ac:dyDescent="0.3">
      <c r="A214" s="11">
        <v>208</v>
      </c>
      <c r="B214" s="12" t="s">
        <v>176</v>
      </c>
      <c r="C214" s="12" t="s">
        <v>570</v>
      </c>
      <c r="D214" s="12" t="s">
        <v>151</v>
      </c>
      <c r="E214" s="12">
        <v>2</v>
      </c>
      <c r="F214" s="12" t="s">
        <v>101</v>
      </c>
      <c r="G214" s="12" t="s">
        <v>757</v>
      </c>
      <c r="H214" s="12" t="s">
        <v>774</v>
      </c>
      <c r="I214" s="14">
        <v>10</v>
      </c>
      <c r="J214" s="13">
        <f>IF(B214="","",SUMIF(Bieu04A_12thang!$B:$B,B214,Bieu04A_12thang!$O:$O))</f>
        <v>222</v>
      </c>
      <c r="K214" s="23"/>
      <c r="L214" s="13">
        <f>IF(B214="","",SUMIF(Bieu04A_12thang!$B:$B,B214,Bieu04A_12thang!$AB:$AB))</f>
        <v>494172</v>
      </c>
      <c r="M214" s="12"/>
      <c r="N214" s="12"/>
      <c r="O214" s="12"/>
      <c r="P214" s="12"/>
    </row>
    <row r="215" spans="1:16" x14ac:dyDescent="0.3">
      <c r="A215" s="11">
        <v>209</v>
      </c>
      <c r="B215" s="12" t="s">
        <v>179</v>
      </c>
      <c r="C215" s="12" t="s">
        <v>570</v>
      </c>
      <c r="D215" s="12" t="s">
        <v>151</v>
      </c>
      <c r="E215" s="12">
        <v>2</v>
      </c>
      <c r="F215" s="12" t="s">
        <v>101</v>
      </c>
      <c r="G215" s="12" t="s">
        <v>757</v>
      </c>
      <c r="H215" s="12" t="s">
        <v>774</v>
      </c>
      <c r="I215" s="14">
        <v>10</v>
      </c>
      <c r="J215" s="13">
        <f>IF(B215="","",SUMIF(Bieu04A_12thang!$B:$B,B215,Bieu04A_12thang!$O:$O))</f>
        <v>110</v>
      </c>
      <c r="K215" s="23"/>
      <c r="L215" s="13">
        <f>IF(B215="","",SUMIF(Bieu04A_12thang!$B:$B,B215,Bieu04A_12thang!$AB:$AB))</f>
        <v>244860</v>
      </c>
      <c r="M215" s="12"/>
      <c r="N215" s="12"/>
      <c r="O215" s="12"/>
      <c r="P215" s="12"/>
    </row>
    <row r="216" spans="1:16" x14ac:dyDescent="0.3">
      <c r="A216" s="11">
        <v>210</v>
      </c>
      <c r="B216" s="12" t="s">
        <v>182</v>
      </c>
      <c r="C216" s="12" t="s">
        <v>570</v>
      </c>
      <c r="D216" s="12" t="s">
        <v>151</v>
      </c>
      <c r="E216" s="12">
        <v>2</v>
      </c>
      <c r="F216" s="12" t="s">
        <v>101</v>
      </c>
      <c r="G216" s="12" t="s">
        <v>757</v>
      </c>
      <c r="H216" s="12" t="s">
        <v>774</v>
      </c>
      <c r="I216" s="14">
        <v>10</v>
      </c>
      <c r="J216" s="13">
        <f>IF(B216="","",SUMIF(Bieu04A_12thang!$B:$B,B216,Bieu04A_12thang!$O:$O))</f>
        <v>609</v>
      </c>
      <c r="K216" s="23"/>
      <c r="L216" s="13">
        <f>IF(B216="","",SUMIF(Bieu04A_12thang!$B:$B,B216,Bieu04A_12thang!$AB:$AB))</f>
        <v>1355634</v>
      </c>
      <c r="M216" s="12"/>
      <c r="N216" s="12"/>
      <c r="O216" s="12"/>
      <c r="P216" s="12"/>
    </row>
    <row r="217" spans="1:16" x14ac:dyDescent="0.3">
      <c r="A217" s="11">
        <v>211</v>
      </c>
      <c r="B217" s="12" t="s">
        <v>183</v>
      </c>
      <c r="C217" s="12" t="s">
        <v>570</v>
      </c>
      <c r="D217" s="12" t="s">
        <v>151</v>
      </c>
      <c r="E217" s="12">
        <v>2</v>
      </c>
      <c r="F217" s="12" t="s">
        <v>101</v>
      </c>
      <c r="G217" s="12" t="s">
        <v>757</v>
      </c>
      <c r="H217" s="12" t="s">
        <v>774</v>
      </c>
      <c r="I217" s="14">
        <v>10</v>
      </c>
      <c r="J217" s="13">
        <f>IF(B217="","",SUMIF(Bieu04A_12thang!$B:$B,B217,Bieu04A_12thang!$O:$O))</f>
        <v>647</v>
      </c>
      <c r="K217" s="23"/>
      <c r="L217" s="13">
        <f>IF(B217="","",SUMIF(Bieu04A_12thang!$B:$B,B217,Bieu04A_12thang!$AB:$AB))</f>
        <v>1440222</v>
      </c>
      <c r="M217" s="12"/>
      <c r="N217" s="12"/>
      <c r="O217" s="12"/>
      <c r="P217" s="12"/>
    </row>
    <row r="218" spans="1:16" x14ac:dyDescent="0.3">
      <c r="A218" s="11">
        <v>212</v>
      </c>
      <c r="B218" s="12" t="s">
        <v>188</v>
      </c>
      <c r="C218" s="12" t="s">
        <v>570</v>
      </c>
      <c r="D218" s="12" t="s">
        <v>151</v>
      </c>
      <c r="E218" s="12">
        <v>2</v>
      </c>
      <c r="F218" s="12" t="s">
        <v>101</v>
      </c>
      <c r="G218" s="12" t="s">
        <v>757</v>
      </c>
      <c r="H218" s="12" t="s">
        <v>774</v>
      </c>
      <c r="I218" s="14">
        <v>10</v>
      </c>
      <c r="J218" s="13">
        <f>IF(B218="","",SUMIF(Bieu04A_12thang!$B:$B,B218,Bieu04A_12thang!$O:$O))</f>
        <v>641</v>
      </c>
      <c r="K218" s="23"/>
      <c r="L218" s="13">
        <f>IF(B218="","",SUMIF(Bieu04A_12thang!$B:$B,B218,Bieu04A_12thang!$AB:$AB))</f>
        <v>1426866</v>
      </c>
      <c r="M218" s="12"/>
      <c r="N218" s="12"/>
      <c r="O218" s="12"/>
      <c r="P218" s="12"/>
    </row>
    <row r="219" spans="1:16" x14ac:dyDescent="0.3">
      <c r="A219" s="11">
        <v>213</v>
      </c>
      <c r="B219" s="12" t="s">
        <v>189</v>
      </c>
      <c r="C219" s="12" t="s">
        <v>570</v>
      </c>
      <c r="D219" s="12" t="s">
        <v>151</v>
      </c>
      <c r="E219" s="12">
        <v>2</v>
      </c>
      <c r="F219" s="12" t="s">
        <v>101</v>
      </c>
      <c r="G219" s="12" t="s">
        <v>757</v>
      </c>
      <c r="H219" s="12" t="s">
        <v>774</v>
      </c>
      <c r="I219" s="14">
        <v>10</v>
      </c>
      <c r="J219" s="13">
        <f>IF(B219="","",SUMIF(Bieu04A_12thang!$B:$B,B219,Bieu04A_12thang!$O:$O))</f>
        <v>105</v>
      </c>
      <c r="K219" s="23"/>
      <c r="L219" s="13">
        <f>IF(B219="","",SUMIF(Bieu04A_12thang!$B:$B,B219,Bieu04A_12thang!$AB:$AB))</f>
        <v>233730</v>
      </c>
      <c r="M219" s="12"/>
      <c r="N219" s="12"/>
      <c r="O219" s="12"/>
      <c r="P219" s="12"/>
    </row>
    <row r="220" spans="1:16" x14ac:dyDescent="0.3">
      <c r="A220" s="11">
        <v>214</v>
      </c>
      <c r="B220" s="12" t="s">
        <v>191</v>
      </c>
      <c r="C220" s="12" t="s">
        <v>570</v>
      </c>
      <c r="D220" s="12" t="s">
        <v>151</v>
      </c>
      <c r="E220" s="12">
        <v>2</v>
      </c>
      <c r="F220" s="12" t="s">
        <v>101</v>
      </c>
      <c r="G220" s="12" t="s">
        <v>757</v>
      </c>
      <c r="H220" s="12" t="s">
        <v>774</v>
      </c>
      <c r="I220" s="14">
        <v>10</v>
      </c>
      <c r="J220" s="13">
        <f>IF(B220="","",SUMIF(Bieu04A_12thang!$B:$B,B220,Bieu04A_12thang!$O:$O))</f>
        <v>654</v>
      </c>
      <c r="K220" s="23"/>
      <c r="L220" s="13">
        <f>IF(B220="","",SUMIF(Bieu04A_12thang!$B:$B,B220,Bieu04A_12thang!$AB:$AB))</f>
        <v>1455804</v>
      </c>
      <c r="M220" s="12"/>
      <c r="N220" s="12"/>
      <c r="O220" s="12"/>
      <c r="P220" s="12"/>
    </row>
    <row r="221" spans="1:16" x14ac:dyDescent="0.3">
      <c r="A221" s="11">
        <v>215</v>
      </c>
      <c r="B221" s="12" t="s">
        <v>237</v>
      </c>
      <c r="C221" s="12" t="s">
        <v>584</v>
      </c>
      <c r="D221" s="12" t="s">
        <v>151</v>
      </c>
      <c r="E221" s="12">
        <v>2</v>
      </c>
      <c r="F221" s="12" t="s">
        <v>101</v>
      </c>
      <c r="G221" s="12" t="s">
        <v>757</v>
      </c>
      <c r="H221" s="12" t="s">
        <v>774</v>
      </c>
      <c r="I221" s="14">
        <v>10</v>
      </c>
      <c r="J221" s="13">
        <f>IF(B221="","",SUMIF(Bieu04A_12thang!$B:$B,B221,Bieu04A_12thang!$O:$O))</f>
        <v>690</v>
      </c>
      <c r="K221" s="23"/>
      <c r="L221" s="13">
        <f>IF(B221="","",SUMIF(Bieu04A_12thang!$B:$B,B221,Bieu04A_12thang!$AB:$AB))</f>
        <v>1535940</v>
      </c>
      <c r="M221" s="12"/>
      <c r="N221" s="12"/>
      <c r="O221" s="12"/>
      <c r="P221" s="12"/>
    </row>
    <row r="222" spans="1:16" x14ac:dyDescent="0.3">
      <c r="A222" s="11">
        <v>216</v>
      </c>
      <c r="B222" s="12" t="s">
        <v>238</v>
      </c>
      <c r="C222" s="12" t="s">
        <v>585</v>
      </c>
      <c r="D222" s="12" t="s">
        <v>151</v>
      </c>
      <c r="E222" s="12">
        <v>2</v>
      </c>
      <c r="F222" s="12" t="s">
        <v>101</v>
      </c>
      <c r="G222" s="12" t="s">
        <v>757</v>
      </c>
      <c r="H222" s="12" t="s">
        <v>774</v>
      </c>
      <c r="I222" s="14">
        <v>10</v>
      </c>
      <c r="J222" s="13">
        <f>IF(B222="","",SUMIF(Bieu04A_12thang!$B:$B,B222,Bieu04A_12thang!$O:$O))</f>
        <v>0</v>
      </c>
      <c r="K222" s="23"/>
      <c r="L222" s="13">
        <f>IF(B222="","",SUMIF(Bieu04A_12thang!$B:$B,B222,Bieu04A_12thang!$AB:$AB))</f>
        <v>0</v>
      </c>
      <c r="M222" s="12"/>
      <c r="N222" s="12"/>
      <c r="O222" s="12"/>
      <c r="P222" s="12"/>
    </row>
    <row r="223" spans="1:16" x14ac:dyDescent="0.3">
      <c r="A223" s="11">
        <v>217</v>
      </c>
      <c r="B223" s="12" t="s">
        <v>239</v>
      </c>
      <c r="C223" s="12" t="s">
        <v>585</v>
      </c>
      <c r="D223" s="12" t="s">
        <v>151</v>
      </c>
      <c r="E223" s="12">
        <v>2</v>
      </c>
      <c r="F223" s="12" t="s">
        <v>101</v>
      </c>
      <c r="G223" s="12" t="s">
        <v>757</v>
      </c>
      <c r="H223" s="12" t="s">
        <v>774</v>
      </c>
      <c r="I223" s="14">
        <v>10</v>
      </c>
      <c r="J223" s="13">
        <f>IF(B223="","",SUMIF(Bieu04A_12thang!$B:$B,B223,Bieu04A_12thang!$O:$O))</f>
        <v>221</v>
      </c>
      <c r="K223" s="23"/>
      <c r="L223" s="13">
        <f>IF(B223="","",SUMIF(Bieu04A_12thang!$B:$B,B223,Bieu04A_12thang!$AB:$AB))</f>
        <v>491946</v>
      </c>
      <c r="M223" s="12"/>
      <c r="N223" s="12"/>
      <c r="O223" s="12"/>
      <c r="P223" s="12"/>
    </row>
    <row r="224" spans="1:16" x14ac:dyDescent="0.3">
      <c r="A224" s="11">
        <v>218</v>
      </c>
      <c r="B224" s="12" t="s">
        <v>240</v>
      </c>
      <c r="C224" s="12" t="s">
        <v>585</v>
      </c>
      <c r="D224" s="12" t="s">
        <v>151</v>
      </c>
      <c r="E224" s="12">
        <v>2</v>
      </c>
      <c r="F224" s="12" t="s">
        <v>101</v>
      </c>
      <c r="G224" s="12" t="s">
        <v>757</v>
      </c>
      <c r="H224" s="12" t="s">
        <v>774</v>
      </c>
      <c r="I224" s="14">
        <v>10</v>
      </c>
      <c r="J224" s="13">
        <f>IF(B224="","",SUMIF(Bieu04A_12thang!$B:$B,B224,Bieu04A_12thang!$O:$O))</f>
        <v>2455</v>
      </c>
      <c r="K224" s="23"/>
      <c r="L224" s="13">
        <f>IF(B224="","",SUMIF(Bieu04A_12thang!$B:$B,B224,Bieu04A_12thang!$AB:$AB))</f>
        <v>5464830</v>
      </c>
      <c r="M224" s="12"/>
      <c r="N224" s="12"/>
      <c r="O224" s="12"/>
      <c r="P224" s="12"/>
    </row>
    <row r="225" spans="1:16" x14ac:dyDescent="0.3">
      <c r="A225" s="11">
        <v>219</v>
      </c>
      <c r="B225" s="12" t="s">
        <v>273</v>
      </c>
      <c r="C225" s="12" t="s">
        <v>590</v>
      </c>
      <c r="D225" s="12" t="s">
        <v>151</v>
      </c>
      <c r="E225" s="12">
        <v>2</v>
      </c>
      <c r="F225" s="12" t="s">
        <v>101</v>
      </c>
      <c r="G225" s="12" t="s">
        <v>757</v>
      </c>
      <c r="H225" s="12" t="s">
        <v>774</v>
      </c>
      <c r="I225" s="14">
        <v>10</v>
      </c>
      <c r="J225" s="13">
        <f>IF(B225="","",SUMIF(Bieu04A_12thang!$B:$B,B225,Bieu04A_12thang!$O:$O))</f>
        <v>0</v>
      </c>
      <c r="K225" s="23"/>
      <c r="L225" s="13">
        <f>IF(B225="","",SUMIF(Bieu04A_12thang!$B:$B,B225,Bieu04A_12thang!$AB:$AB))</f>
        <v>0</v>
      </c>
      <c r="M225" s="12"/>
      <c r="N225" s="12"/>
      <c r="O225" s="12"/>
      <c r="P225" s="12"/>
    </row>
    <row r="226" spans="1:16" x14ac:dyDescent="0.3">
      <c r="A226" s="11">
        <v>220</v>
      </c>
      <c r="B226" s="12" t="s">
        <v>274</v>
      </c>
      <c r="C226" s="12" t="s">
        <v>590</v>
      </c>
      <c r="D226" s="12" t="s">
        <v>151</v>
      </c>
      <c r="E226" s="12">
        <v>2</v>
      </c>
      <c r="F226" s="12" t="s">
        <v>101</v>
      </c>
      <c r="G226" s="12" t="s">
        <v>757</v>
      </c>
      <c r="H226" s="12" t="s">
        <v>774</v>
      </c>
      <c r="I226" s="14">
        <v>10</v>
      </c>
      <c r="J226" s="13">
        <f>IF(B226="","",SUMIF(Bieu04A_12thang!$B:$B,B226,Bieu04A_12thang!$O:$O))</f>
        <v>0</v>
      </c>
      <c r="K226" s="23"/>
      <c r="L226" s="13">
        <f>IF(B226="","",SUMIF(Bieu04A_12thang!$B:$B,B226,Bieu04A_12thang!$AB:$AB))</f>
        <v>0</v>
      </c>
      <c r="M226" s="12"/>
      <c r="N226" s="12"/>
      <c r="O226" s="12"/>
      <c r="P226" s="12"/>
    </row>
    <row r="227" spans="1:16" x14ac:dyDescent="0.3">
      <c r="A227" s="11">
        <v>221</v>
      </c>
      <c r="B227" s="12" t="s">
        <v>275</v>
      </c>
      <c r="C227" s="12" t="s">
        <v>590</v>
      </c>
      <c r="D227" s="12" t="s">
        <v>151</v>
      </c>
      <c r="E227" s="12">
        <v>2</v>
      </c>
      <c r="F227" s="12" t="s">
        <v>101</v>
      </c>
      <c r="G227" s="12" t="s">
        <v>757</v>
      </c>
      <c r="H227" s="12" t="s">
        <v>774</v>
      </c>
      <c r="I227" s="14">
        <v>10</v>
      </c>
      <c r="J227" s="13">
        <f>IF(B227="","",SUMIF(Bieu04A_12thang!$B:$B,B227,Bieu04A_12thang!$O:$O))</f>
        <v>0</v>
      </c>
      <c r="K227" s="23"/>
      <c r="L227" s="13">
        <f>IF(B227="","",SUMIF(Bieu04A_12thang!$B:$B,B227,Bieu04A_12thang!$AB:$AB))</f>
        <v>0</v>
      </c>
      <c r="M227" s="12"/>
      <c r="N227" s="12"/>
      <c r="O227" s="12"/>
      <c r="P227" s="12"/>
    </row>
    <row r="228" spans="1:16" x14ac:dyDescent="0.3">
      <c r="A228" s="11">
        <v>222</v>
      </c>
      <c r="B228" s="12" t="s">
        <v>281</v>
      </c>
      <c r="C228" s="12" t="s">
        <v>594</v>
      </c>
      <c r="D228" s="12" t="s">
        <v>151</v>
      </c>
      <c r="E228" s="12">
        <v>2</v>
      </c>
      <c r="F228" s="12" t="s">
        <v>101</v>
      </c>
      <c r="G228" s="12" t="s">
        <v>757</v>
      </c>
      <c r="H228" s="12" t="s">
        <v>774</v>
      </c>
      <c r="I228" s="14">
        <v>10</v>
      </c>
      <c r="J228" s="13">
        <f>IF(B228="","",SUMIF(Bieu04A_12thang!$B:$B,B228,Bieu04A_12thang!$O:$O))</f>
        <v>0</v>
      </c>
      <c r="K228" s="23"/>
      <c r="L228" s="13">
        <f>IF(B228="","",SUMIF(Bieu04A_12thang!$B:$B,B228,Bieu04A_12thang!$AB:$AB))</f>
        <v>0</v>
      </c>
      <c r="M228" s="12"/>
      <c r="N228" s="12"/>
      <c r="O228" s="12"/>
      <c r="P228" s="12"/>
    </row>
    <row r="229" spans="1:16" x14ac:dyDescent="0.3">
      <c r="A229" s="11">
        <v>223</v>
      </c>
      <c r="B229" s="12" t="s">
        <v>299</v>
      </c>
      <c r="C229" s="12" t="s">
        <v>605</v>
      </c>
      <c r="D229" s="12" t="s">
        <v>151</v>
      </c>
      <c r="E229" s="12">
        <v>1</v>
      </c>
      <c r="F229" s="12" t="s">
        <v>101</v>
      </c>
      <c r="G229" s="12" t="s">
        <v>757</v>
      </c>
      <c r="H229" s="12" t="s">
        <v>774</v>
      </c>
      <c r="I229" s="14">
        <v>10</v>
      </c>
      <c r="J229" s="13">
        <f>IF(B229="","",SUMIF(Bieu04A_12thang!$B:$B,B229,Bieu04A_12thang!$O:$O))</f>
        <v>3140</v>
      </c>
      <c r="K229" s="23"/>
      <c r="L229" s="13">
        <f>IF(B229="","",SUMIF(Bieu04A_12thang!$B:$B,B229,Bieu04A_12thang!$AB:$AB))</f>
        <v>6506080</v>
      </c>
      <c r="M229" s="12"/>
      <c r="N229" s="12"/>
      <c r="O229" s="12"/>
      <c r="P229" s="12"/>
    </row>
    <row r="230" spans="1:16" x14ac:dyDescent="0.3">
      <c r="A230" s="11">
        <v>224</v>
      </c>
      <c r="B230" s="12" t="s">
        <v>303</v>
      </c>
      <c r="C230" s="12" t="s">
        <v>609</v>
      </c>
      <c r="D230" s="12" t="s">
        <v>151</v>
      </c>
      <c r="E230" s="12">
        <v>1</v>
      </c>
      <c r="F230" s="12" t="s">
        <v>101</v>
      </c>
      <c r="G230" s="12" t="s">
        <v>757</v>
      </c>
      <c r="H230" s="12" t="s">
        <v>774</v>
      </c>
      <c r="I230" s="14">
        <v>18</v>
      </c>
      <c r="J230" s="13">
        <f>IF(B230="","",SUMIF(Bieu04A_12thang!$B:$B,B230,Bieu04A_12thang!$O:$O))</f>
        <v>6308</v>
      </c>
      <c r="K230" s="23"/>
      <c r="L230" s="13">
        <f>IF(B230="","",SUMIF(Bieu04A_12thang!$B:$B,B230,Bieu04A_12thang!$AB:$AB))</f>
        <v>13070176</v>
      </c>
      <c r="M230" s="12"/>
      <c r="N230" s="12"/>
      <c r="O230" s="12"/>
      <c r="P230" s="12"/>
    </row>
    <row r="231" spans="1:16" x14ac:dyDescent="0.3">
      <c r="A231" s="11">
        <v>225</v>
      </c>
      <c r="B231" s="12" t="s">
        <v>304</v>
      </c>
      <c r="C231" s="12" t="s">
        <v>610</v>
      </c>
      <c r="D231" s="12" t="s">
        <v>151</v>
      </c>
      <c r="E231" s="12">
        <v>1</v>
      </c>
      <c r="F231" s="12" t="s">
        <v>101</v>
      </c>
      <c r="G231" s="12" t="s">
        <v>757</v>
      </c>
      <c r="H231" s="12" t="s">
        <v>774</v>
      </c>
      <c r="I231" s="14">
        <v>18</v>
      </c>
      <c r="J231" s="13">
        <f>IF(B231="","",SUMIF(Bieu04A_12thang!$B:$B,B231,Bieu04A_12thang!$O:$O))</f>
        <v>3640</v>
      </c>
      <c r="K231" s="23"/>
      <c r="L231" s="13">
        <f>IF(B231="","",SUMIF(Bieu04A_12thang!$B:$B,B231,Bieu04A_12thang!$AB:$AB))</f>
        <v>7542080</v>
      </c>
      <c r="M231" s="12"/>
      <c r="N231" s="12"/>
      <c r="O231" s="12"/>
      <c r="P231" s="12"/>
    </row>
    <row r="232" spans="1:16" x14ac:dyDescent="0.3">
      <c r="A232" s="11">
        <v>226</v>
      </c>
      <c r="B232" s="12" t="s">
        <v>327</v>
      </c>
      <c r="C232" s="12" t="s">
        <v>621</v>
      </c>
      <c r="D232" s="12" t="s">
        <v>151</v>
      </c>
      <c r="E232" s="12">
        <v>2</v>
      </c>
      <c r="F232" s="12" t="s">
        <v>101</v>
      </c>
      <c r="G232" s="12" t="s">
        <v>757</v>
      </c>
      <c r="H232" s="12" t="s">
        <v>774</v>
      </c>
      <c r="I232" s="14">
        <v>18</v>
      </c>
      <c r="J232" s="13">
        <f>IF(B232="","",SUMIF(Bieu04A_12thang!$B:$B,B232,Bieu04A_12thang!$O:$O))</f>
        <v>9826</v>
      </c>
      <c r="K232" s="23"/>
      <c r="L232" s="13">
        <f>IF(B232="","",SUMIF(Bieu04A_12thang!$B:$B,B232,Bieu04A_12thang!$AB:$AB))</f>
        <v>21872676</v>
      </c>
      <c r="M232" s="12"/>
      <c r="N232" s="12"/>
      <c r="O232" s="12"/>
      <c r="P232" s="12"/>
    </row>
    <row r="233" spans="1:16" x14ac:dyDescent="0.3">
      <c r="A233" s="11">
        <v>227</v>
      </c>
      <c r="B233" s="12" t="s">
        <v>374</v>
      </c>
      <c r="C233" s="12" t="s">
        <v>648</v>
      </c>
      <c r="D233" s="12" t="s">
        <v>151</v>
      </c>
      <c r="E233" s="12">
        <v>1</v>
      </c>
      <c r="F233" s="12" t="s">
        <v>101</v>
      </c>
      <c r="G233" s="12" t="s">
        <v>757</v>
      </c>
      <c r="H233" s="12" t="s">
        <v>774</v>
      </c>
      <c r="I233" s="14">
        <v>10</v>
      </c>
      <c r="J233" s="13">
        <f>IF(B233="","",SUMIF(Bieu04A_12thang!$B:$B,B233,Bieu04A_12thang!$O:$O))</f>
        <v>6110</v>
      </c>
      <c r="K233" s="23"/>
      <c r="L233" s="13">
        <f>IF(B233="","",SUMIF(Bieu04A_12thang!$B:$B,B233,Bieu04A_12thang!$AB:$AB))</f>
        <v>12659920</v>
      </c>
      <c r="M233" s="12"/>
      <c r="N233" s="12"/>
      <c r="O233" s="12"/>
      <c r="P233" s="12"/>
    </row>
    <row r="234" spans="1:16" x14ac:dyDescent="0.3">
      <c r="A234" s="11">
        <v>228</v>
      </c>
      <c r="B234" s="12" t="s">
        <v>375</v>
      </c>
      <c r="C234" s="12" t="s">
        <v>648</v>
      </c>
      <c r="D234" s="12" t="s">
        <v>151</v>
      </c>
      <c r="E234" s="12">
        <v>1</v>
      </c>
      <c r="F234" s="12" t="s">
        <v>101</v>
      </c>
      <c r="G234" s="12" t="s">
        <v>758</v>
      </c>
      <c r="H234" s="12" t="s">
        <v>774</v>
      </c>
      <c r="I234" s="14">
        <v>127</v>
      </c>
      <c r="J234" s="13">
        <f>IF(B234="","",SUMIF(Bieu04A_12thang!$B:$B,B234,Bieu04A_12thang!$O:$O))</f>
        <v>23895</v>
      </c>
      <c r="K234" s="23"/>
      <c r="L234" s="13">
        <f>IF(B234="","",SUMIF(Bieu04A_12thang!$B:$B,B234,Bieu04A_12thang!$AB:$AB))</f>
        <v>49510440</v>
      </c>
      <c r="M234" s="12"/>
      <c r="N234" s="12"/>
      <c r="O234" s="12"/>
      <c r="P234" s="12"/>
    </row>
    <row r="235" spans="1:16" x14ac:dyDescent="0.3">
      <c r="A235" s="11">
        <v>229</v>
      </c>
      <c r="B235" s="12" t="s">
        <v>376</v>
      </c>
      <c r="C235" s="12" t="s">
        <v>649</v>
      </c>
      <c r="D235" s="12" t="s">
        <v>151</v>
      </c>
      <c r="E235" s="12">
        <v>1</v>
      </c>
      <c r="F235" s="12" t="s">
        <v>101</v>
      </c>
      <c r="G235" s="12" t="s">
        <v>757</v>
      </c>
      <c r="H235" s="12" t="s">
        <v>774</v>
      </c>
      <c r="I235" s="14">
        <v>10</v>
      </c>
      <c r="J235" s="13">
        <f>IF(B235="","",SUMIF(Bieu04A_12thang!$B:$B,B235,Bieu04A_12thang!$O:$O))</f>
        <v>3573</v>
      </c>
      <c r="K235" s="23"/>
      <c r="L235" s="13">
        <f>IF(B235="","",SUMIF(Bieu04A_12thang!$B:$B,B235,Bieu04A_12thang!$AB:$AB))</f>
        <v>7403256</v>
      </c>
      <c r="M235" s="12"/>
      <c r="N235" s="12"/>
      <c r="O235" s="12"/>
      <c r="P235" s="12"/>
    </row>
    <row r="236" spans="1:16" x14ac:dyDescent="0.3">
      <c r="A236" s="11">
        <v>230</v>
      </c>
      <c r="B236" s="12" t="s">
        <v>377</v>
      </c>
      <c r="C236" s="12" t="s">
        <v>650</v>
      </c>
      <c r="D236" s="12" t="s">
        <v>151</v>
      </c>
      <c r="E236" s="12">
        <v>1</v>
      </c>
      <c r="F236" s="12" t="s">
        <v>101</v>
      </c>
      <c r="G236" s="12" t="s">
        <v>757</v>
      </c>
      <c r="H236" s="12" t="s">
        <v>774</v>
      </c>
      <c r="I236" s="14">
        <v>18</v>
      </c>
      <c r="J236" s="13">
        <f>IF(B236="","",SUMIF(Bieu04A_12thang!$B:$B,B236,Bieu04A_12thang!$O:$O))</f>
        <v>13246</v>
      </c>
      <c r="K236" s="23"/>
      <c r="L236" s="13">
        <f>IF(B236="","",SUMIF(Bieu04A_12thang!$B:$B,B236,Bieu04A_12thang!$AB:$AB))</f>
        <v>27445712</v>
      </c>
      <c r="M236" s="12"/>
      <c r="N236" s="12"/>
      <c r="O236" s="12"/>
      <c r="P236" s="12"/>
    </row>
    <row r="237" spans="1:16" x14ac:dyDescent="0.3">
      <c r="A237" s="11">
        <v>231</v>
      </c>
      <c r="B237" s="12" t="s">
        <v>399</v>
      </c>
      <c r="C237" s="12" t="s">
        <v>666</v>
      </c>
      <c r="D237" s="12" t="s">
        <v>151</v>
      </c>
      <c r="E237" s="12">
        <v>1</v>
      </c>
      <c r="F237" s="12" t="s">
        <v>101</v>
      </c>
      <c r="G237" s="12" t="s">
        <v>757</v>
      </c>
      <c r="H237" s="12" t="s">
        <v>774</v>
      </c>
      <c r="I237" s="14">
        <v>10</v>
      </c>
      <c r="J237" s="13">
        <f>IF(B237="","",SUMIF(Bieu04A_12thang!$B:$B,B237,Bieu04A_12thang!$O:$O))</f>
        <v>1651</v>
      </c>
      <c r="K237" s="23"/>
      <c r="L237" s="13">
        <f>IF(B237="","",SUMIF(Bieu04A_12thang!$B:$B,B237,Bieu04A_12thang!$AB:$AB))</f>
        <v>3420872</v>
      </c>
      <c r="M237" s="12"/>
      <c r="N237" s="12"/>
      <c r="O237" s="12"/>
      <c r="P237" s="12"/>
    </row>
    <row r="238" spans="1:16" x14ac:dyDescent="0.3">
      <c r="A238" s="11">
        <v>232</v>
      </c>
      <c r="B238" s="12" t="s">
        <v>400</v>
      </c>
      <c r="C238" s="12" t="s">
        <v>667</v>
      </c>
      <c r="D238" s="12" t="s">
        <v>151</v>
      </c>
      <c r="E238" s="12">
        <v>1</v>
      </c>
      <c r="F238" s="12" t="s">
        <v>756</v>
      </c>
      <c r="G238" s="12" t="s">
        <v>757</v>
      </c>
      <c r="H238" s="12" t="s">
        <v>774</v>
      </c>
      <c r="I238" s="14">
        <v>18</v>
      </c>
      <c r="J238" s="13">
        <f>IF(B238="","",SUMIF(Bieu04A_12thang!$B:$B,B238,Bieu04A_12thang!$O:$O))</f>
        <v>25456</v>
      </c>
      <c r="K238" s="23"/>
      <c r="L238" s="13">
        <f>IF(B238="","",SUMIF(Bieu04A_12thang!$B:$B,B238,Bieu04A_12thang!$AB:$AB))</f>
        <v>52744832</v>
      </c>
      <c r="M238" s="12"/>
      <c r="N238" s="12"/>
      <c r="O238" s="12"/>
      <c r="P238" s="12"/>
    </row>
    <row r="239" spans="1:16" x14ac:dyDescent="0.3">
      <c r="A239" s="11">
        <v>233</v>
      </c>
      <c r="B239" s="12" t="s">
        <v>403</v>
      </c>
      <c r="C239" s="12" t="s">
        <v>670</v>
      </c>
      <c r="D239" s="12" t="s">
        <v>151</v>
      </c>
      <c r="E239" s="12">
        <v>1</v>
      </c>
      <c r="F239" s="12" t="s">
        <v>101</v>
      </c>
      <c r="G239" s="12" t="s">
        <v>758</v>
      </c>
      <c r="H239" s="12" t="s">
        <v>774</v>
      </c>
      <c r="I239" s="14">
        <v>127</v>
      </c>
      <c r="J239" s="13">
        <f>IF(B239="","",SUMIF(Bieu04A_12thang!$B:$B,B239,Bieu04A_12thang!$O:$O))</f>
        <v>97983</v>
      </c>
      <c r="K239" s="23"/>
      <c r="L239" s="13">
        <f>IF(B239="","",SUMIF(Bieu04A_12thang!$B:$B,B239,Bieu04A_12thang!$AB:$AB))</f>
        <v>203020776</v>
      </c>
      <c r="M239" s="12"/>
      <c r="N239" s="12"/>
      <c r="O239" s="12"/>
      <c r="P239" s="12"/>
    </row>
    <row r="240" spans="1:16" x14ac:dyDescent="0.3">
      <c r="A240" s="11">
        <v>234</v>
      </c>
      <c r="B240" s="12" t="s">
        <v>404</v>
      </c>
      <c r="C240" s="12" t="s">
        <v>671</v>
      </c>
      <c r="D240" s="12" t="s">
        <v>151</v>
      </c>
      <c r="E240" s="12">
        <v>1</v>
      </c>
      <c r="F240" s="12" t="s">
        <v>101</v>
      </c>
      <c r="G240" s="12" t="s">
        <v>757</v>
      </c>
      <c r="H240" s="12" t="s">
        <v>774</v>
      </c>
      <c r="I240" s="14">
        <v>10</v>
      </c>
      <c r="J240" s="13">
        <f>IF(B240="","",SUMIF(Bieu04A_12thang!$B:$B,B240,Bieu04A_12thang!$O:$O))</f>
        <v>5948</v>
      </c>
      <c r="K240" s="23"/>
      <c r="L240" s="13">
        <f>IF(B240="","",SUMIF(Bieu04A_12thang!$B:$B,B240,Bieu04A_12thang!$AB:$AB))</f>
        <v>12324256</v>
      </c>
      <c r="M240" s="12"/>
      <c r="N240" s="12"/>
      <c r="O240" s="12"/>
      <c r="P240" s="12"/>
    </row>
    <row r="241" spans="1:16" x14ac:dyDescent="0.3">
      <c r="A241" s="11">
        <v>235</v>
      </c>
      <c r="B241" s="12" t="s">
        <v>415</v>
      </c>
      <c r="C241" s="12" t="s">
        <v>679</v>
      </c>
      <c r="D241" s="12" t="s">
        <v>151</v>
      </c>
      <c r="E241" s="12">
        <v>1</v>
      </c>
      <c r="F241" s="12" t="s">
        <v>101</v>
      </c>
      <c r="G241" s="12" t="s">
        <v>758</v>
      </c>
      <c r="H241" s="12" t="s">
        <v>774</v>
      </c>
      <c r="I241" s="14">
        <v>127</v>
      </c>
      <c r="J241" s="13">
        <f>IF(B241="","",SUMIF(Bieu04A_12thang!$B:$B,B241,Bieu04A_12thang!$O:$O))</f>
        <v>15951</v>
      </c>
      <c r="K241" s="23"/>
      <c r="L241" s="13">
        <f>IF(B241="","",SUMIF(Bieu04A_12thang!$B:$B,B241,Bieu04A_12thang!$AB:$AB))</f>
        <v>33050472</v>
      </c>
      <c r="M241" s="12"/>
      <c r="N241" s="12"/>
      <c r="O241" s="12"/>
      <c r="P241" s="12"/>
    </row>
    <row r="242" spans="1:16" x14ac:dyDescent="0.3">
      <c r="A242" s="11">
        <v>236</v>
      </c>
      <c r="B242" s="12" t="s">
        <v>416</v>
      </c>
      <c r="C242" s="12" t="s">
        <v>680</v>
      </c>
      <c r="D242" s="12" t="s">
        <v>151</v>
      </c>
      <c r="E242" s="12">
        <v>1</v>
      </c>
      <c r="F242" s="12" t="s">
        <v>101</v>
      </c>
      <c r="G242" s="12" t="s">
        <v>758</v>
      </c>
      <c r="H242" s="12" t="s">
        <v>774</v>
      </c>
      <c r="I242" s="14">
        <v>127</v>
      </c>
      <c r="J242" s="13">
        <f>IF(B242="","",SUMIF(Bieu04A_12thang!$B:$B,B242,Bieu04A_12thang!$O:$O))</f>
        <v>6601</v>
      </c>
      <c r="K242" s="23"/>
      <c r="L242" s="13">
        <f>IF(B242="","",SUMIF(Bieu04A_12thang!$B:$B,B242,Bieu04A_12thang!$AB:$AB))</f>
        <v>13677272</v>
      </c>
      <c r="M242" s="12"/>
      <c r="N242" s="12"/>
      <c r="O242" s="12"/>
      <c r="P242" s="12"/>
    </row>
    <row r="243" spans="1:16" x14ac:dyDescent="0.3">
      <c r="A243" s="11">
        <v>237</v>
      </c>
      <c r="B243" s="12" t="s">
        <v>417</v>
      </c>
      <c r="C243" s="12" t="s">
        <v>681</v>
      </c>
      <c r="D243" s="12" t="s">
        <v>151</v>
      </c>
      <c r="E243" s="12">
        <v>1</v>
      </c>
      <c r="F243" s="12" t="s">
        <v>101</v>
      </c>
      <c r="G243" s="12" t="s">
        <v>758</v>
      </c>
      <c r="H243" s="12" t="s">
        <v>774</v>
      </c>
      <c r="I243" s="14">
        <v>127</v>
      </c>
      <c r="J243" s="13">
        <f>IF(B243="","",SUMIF(Bieu04A_12thang!$B:$B,B243,Bieu04A_12thang!$O:$O))</f>
        <v>32694</v>
      </c>
      <c r="K243" s="23"/>
      <c r="L243" s="13">
        <f>IF(B243="","",SUMIF(Bieu04A_12thang!$B:$B,B243,Bieu04A_12thang!$AB:$AB))</f>
        <v>67741968</v>
      </c>
      <c r="M243" s="12"/>
      <c r="N243" s="12"/>
      <c r="O243" s="12"/>
      <c r="P243" s="12"/>
    </row>
    <row r="244" spans="1:16" x14ac:dyDescent="0.3">
      <c r="A244" s="11">
        <v>238</v>
      </c>
      <c r="B244" s="12" t="s">
        <v>462</v>
      </c>
      <c r="C244" s="12" t="s">
        <v>709</v>
      </c>
      <c r="D244" s="12" t="s">
        <v>151</v>
      </c>
      <c r="E244" s="12">
        <v>1</v>
      </c>
      <c r="F244" s="12" t="s">
        <v>101</v>
      </c>
      <c r="G244" s="12" t="s">
        <v>758</v>
      </c>
      <c r="H244" s="12" t="s">
        <v>774</v>
      </c>
      <c r="I244" s="14">
        <v>127</v>
      </c>
      <c r="J244" s="13">
        <f>IF(B244="","",SUMIF(Bieu04A_12thang!$B:$B,B244,Bieu04A_12thang!$O:$O))</f>
        <v>40362</v>
      </c>
      <c r="K244" s="23"/>
      <c r="L244" s="13">
        <f>IF(B244="","",SUMIF(Bieu04A_12thang!$B:$B,B244,Bieu04A_12thang!$AB:$AB))</f>
        <v>83630064</v>
      </c>
      <c r="M244" s="12"/>
      <c r="N244" s="12"/>
      <c r="O244" s="12"/>
      <c r="P244" s="12"/>
    </row>
    <row r="245" spans="1:16" x14ac:dyDescent="0.3">
      <c r="A245" s="11">
        <v>239</v>
      </c>
      <c r="B245" s="12" t="s">
        <v>463</v>
      </c>
      <c r="C245" s="12" t="s">
        <v>710</v>
      </c>
      <c r="D245" s="12" t="s">
        <v>151</v>
      </c>
      <c r="E245" s="12">
        <v>1</v>
      </c>
      <c r="F245" s="12" t="s">
        <v>101</v>
      </c>
      <c r="G245" s="12" t="s">
        <v>758</v>
      </c>
      <c r="H245" s="12" t="s">
        <v>774</v>
      </c>
      <c r="I245" s="14">
        <v>127</v>
      </c>
      <c r="J245" s="13">
        <f>IF(B245="","",SUMIF(Bieu04A_12thang!$B:$B,B245,Bieu04A_12thang!$O:$O))</f>
        <v>35974</v>
      </c>
      <c r="K245" s="23"/>
      <c r="L245" s="13">
        <f>IF(B245="","",SUMIF(Bieu04A_12thang!$B:$B,B245,Bieu04A_12thang!$AB:$AB))</f>
        <v>74538128</v>
      </c>
      <c r="M245" s="12"/>
      <c r="N245" s="12"/>
      <c r="O245" s="12"/>
      <c r="P245" s="12"/>
    </row>
    <row r="246" spans="1:16" x14ac:dyDescent="0.3">
      <c r="A246" s="11">
        <v>240</v>
      </c>
      <c r="B246" s="12" t="s">
        <v>502</v>
      </c>
      <c r="C246" s="12" t="s">
        <v>732</v>
      </c>
      <c r="D246" s="12" t="s">
        <v>151</v>
      </c>
      <c r="E246" s="12">
        <v>2</v>
      </c>
      <c r="F246" s="12" t="s">
        <v>101</v>
      </c>
      <c r="G246" s="12" t="s">
        <v>757</v>
      </c>
      <c r="H246" s="12" t="s">
        <v>774</v>
      </c>
      <c r="I246" s="14">
        <v>10</v>
      </c>
      <c r="J246" s="13">
        <f>IF(B246="","",SUMIF(Bieu04A_12thang!$B:$B,B246,Bieu04A_12thang!$O:$O))</f>
        <v>4081</v>
      </c>
      <c r="K246" s="23"/>
      <c r="L246" s="13">
        <f>IF(B246="","",SUMIF(Bieu04A_12thang!$B:$B,B246,Bieu04A_12thang!$AB:$AB))</f>
        <v>9084306</v>
      </c>
      <c r="M246" s="12"/>
      <c r="N246" s="12"/>
      <c r="O246" s="12"/>
      <c r="P246" s="12"/>
    </row>
    <row r="247" spans="1:16" x14ac:dyDescent="0.3">
      <c r="A247" s="11">
        <v>241</v>
      </c>
      <c r="B247" s="12" t="s">
        <v>542</v>
      </c>
      <c r="C247" s="12" t="s">
        <v>742</v>
      </c>
      <c r="D247" s="12" t="s">
        <v>151</v>
      </c>
      <c r="E247" s="12">
        <v>2</v>
      </c>
      <c r="F247" s="12" t="s">
        <v>101</v>
      </c>
      <c r="G247" s="12" t="s">
        <v>757</v>
      </c>
      <c r="H247" s="12" t="s">
        <v>774</v>
      </c>
      <c r="I247" s="14">
        <v>18</v>
      </c>
      <c r="J247" s="13">
        <f>IF(B247="","",SUMIF(Bieu04A_12thang!$B:$B,B247,Bieu04A_12thang!$O:$O))</f>
        <v>42067</v>
      </c>
      <c r="K247" s="23"/>
      <c r="L247" s="13">
        <f>IF(B247="","",SUMIF(Bieu04A_12thang!$B:$B,B247,Bieu04A_12thang!$AB:$AB))</f>
        <v>93641142</v>
      </c>
      <c r="M247" s="12"/>
      <c r="N247" s="12"/>
      <c r="O247" s="12"/>
      <c r="P247" s="12"/>
    </row>
    <row r="248" spans="1:16" x14ac:dyDescent="0.3">
      <c r="A248" s="11">
        <v>242</v>
      </c>
      <c r="B248" s="12" t="s">
        <v>556</v>
      </c>
      <c r="C248" s="12" t="s">
        <v>751</v>
      </c>
      <c r="D248" s="12" t="s">
        <v>151</v>
      </c>
      <c r="E248" s="12">
        <v>2</v>
      </c>
      <c r="F248" s="12" t="s">
        <v>101</v>
      </c>
      <c r="G248" s="12" t="s">
        <v>758</v>
      </c>
      <c r="H248" s="12" t="s">
        <v>774</v>
      </c>
      <c r="I248" s="14">
        <v>127</v>
      </c>
      <c r="J248" s="13">
        <f>IF(B248="","",SUMIF(Bieu04A_12thang!$B:$B,B248,Bieu04A_12thang!$O:$O))</f>
        <v>67342</v>
      </c>
      <c r="K248" s="23"/>
      <c r="L248" s="13">
        <f>IF(B248="","",SUMIF(Bieu04A_12thang!$B:$B,B248,Bieu04A_12thang!$AB:$AB))</f>
        <v>149903292</v>
      </c>
      <c r="M248" s="12"/>
      <c r="N248" s="12"/>
      <c r="O248" s="12"/>
      <c r="P248" s="12"/>
    </row>
    <row r="249" spans="1:16" x14ac:dyDescent="0.3">
      <c r="A249" s="11">
        <v>243</v>
      </c>
      <c r="B249" s="12" t="s">
        <v>771</v>
      </c>
      <c r="C249" s="12" t="s">
        <v>772</v>
      </c>
      <c r="D249" s="12" t="s">
        <v>773</v>
      </c>
      <c r="E249" s="12">
        <v>2</v>
      </c>
      <c r="F249" s="12" t="s">
        <v>101</v>
      </c>
      <c r="G249" s="12" t="s">
        <v>757</v>
      </c>
      <c r="H249" s="12" t="s">
        <v>774</v>
      </c>
      <c r="I249" s="14">
        <v>18</v>
      </c>
      <c r="J249" s="13">
        <f>IF(B249="","",SUMIF(Bieu04A_12thang!$B:$B,B249,Bieu04A_12thang!$O:$O))</f>
        <v>20091</v>
      </c>
      <c r="K249" s="23"/>
      <c r="L249" s="13">
        <f>IF(B249="","",SUMIF(Bieu04A_12thang!$B:$B,B249,Bieu04A_12thang!$AB:$AB))</f>
        <v>44722566</v>
      </c>
      <c r="M249" s="12">
        <v>31.5</v>
      </c>
      <c r="N249" s="24">
        <v>43965</v>
      </c>
      <c r="O249" s="25" t="s">
        <v>101</v>
      </c>
      <c r="P249" s="12"/>
    </row>
    <row r="250" spans="1:16" x14ac:dyDescent="0.3">
      <c r="A250" s="11">
        <v>244</v>
      </c>
      <c r="B250" s="12" t="s">
        <v>157</v>
      </c>
      <c r="C250" s="12" t="s">
        <v>562</v>
      </c>
      <c r="D250" s="12" t="s">
        <v>153</v>
      </c>
      <c r="E250" s="12">
        <v>2</v>
      </c>
      <c r="F250" s="12" t="s">
        <v>101</v>
      </c>
      <c r="G250" s="12" t="s">
        <v>757</v>
      </c>
      <c r="H250" s="12" t="s">
        <v>774</v>
      </c>
      <c r="I250" s="14">
        <v>10</v>
      </c>
      <c r="J250" s="13">
        <f>IF(B250="","",SUMIF(Bieu04A_12thang!$B:$B,B250,Bieu04A_12thang!$O:$O))</f>
        <v>4996</v>
      </c>
      <c r="K250" s="23"/>
      <c r="L250" s="13">
        <f>IF(B250="","",SUMIF(Bieu04A_12thang!$B:$B,B250,Bieu04A_12thang!$AB:$AB))</f>
        <v>11121096</v>
      </c>
      <c r="M250" s="12"/>
      <c r="N250" s="12"/>
      <c r="O250" s="12"/>
      <c r="P250" s="12"/>
    </row>
    <row r="251" spans="1:16" x14ac:dyDescent="0.3">
      <c r="A251" s="11">
        <v>245</v>
      </c>
      <c r="B251" s="12" t="s">
        <v>195</v>
      </c>
      <c r="C251" s="12" t="s">
        <v>570</v>
      </c>
      <c r="D251" s="12" t="s">
        <v>153</v>
      </c>
      <c r="E251" s="12">
        <v>2</v>
      </c>
      <c r="F251" s="12" t="s">
        <v>101</v>
      </c>
      <c r="G251" s="12" t="s">
        <v>757</v>
      </c>
      <c r="H251" s="12" t="s">
        <v>774</v>
      </c>
      <c r="I251" s="14">
        <v>10</v>
      </c>
      <c r="J251" s="13">
        <f>IF(B251="","",SUMIF(Bieu04A_12thang!$B:$B,B251,Bieu04A_12thang!$O:$O))</f>
        <v>737</v>
      </c>
      <c r="K251" s="23"/>
      <c r="L251" s="13">
        <f>IF(B251="","",SUMIF(Bieu04A_12thang!$B:$B,B251,Bieu04A_12thang!$AB:$AB))</f>
        <v>1640562</v>
      </c>
      <c r="M251" s="12"/>
      <c r="N251" s="12"/>
      <c r="O251" s="12"/>
      <c r="P251" s="12"/>
    </row>
    <row r="252" spans="1:16" x14ac:dyDescent="0.3">
      <c r="A252" s="11">
        <v>246</v>
      </c>
      <c r="B252" s="12" t="s">
        <v>200</v>
      </c>
      <c r="C252" s="12" t="s">
        <v>570</v>
      </c>
      <c r="D252" s="12" t="s">
        <v>153</v>
      </c>
      <c r="E252" s="12">
        <v>2</v>
      </c>
      <c r="F252" s="12" t="s">
        <v>101</v>
      </c>
      <c r="G252" s="12" t="s">
        <v>757</v>
      </c>
      <c r="H252" s="12" t="s">
        <v>774</v>
      </c>
      <c r="I252" s="14">
        <v>10</v>
      </c>
      <c r="J252" s="13">
        <f>IF(B252="","",SUMIF(Bieu04A_12thang!$B:$B,B252,Bieu04A_12thang!$O:$O))</f>
        <v>722</v>
      </c>
      <c r="K252" s="23"/>
      <c r="L252" s="13">
        <f>IF(B252="","",SUMIF(Bieu04A_12thang!$B:$B,B252,Bieu04A_12thang!$AB:$AB))</f>
        <v>1607172</v>
      </c>
      <c r="M252" s="12"/>
      <c r="N252" s="12"/>
      <c r="O252" s="12"/>
      <c r="P252" s="12"/>
    </row>
    <row r="253" spans="1:16" x14ac:dyDescent="0.3">
      <c r="A253" s="11">
        <v>247</v>
      </c>
      <c r="B253" s="12" t="s">
        <v>207</v>
      </c>
      <c r="C253" s="12" t="s">
        <v>570</v>
      </c>
      <c r="D253" s="12" t="s">
        <v>153</v>
      </c>
      <c r="E253" s="12">
        <v>2</v>
      </c>
      <c r="F253" s="12" t="s">
        <v>101</v>
      </c>
      <c r="G253" s="12" t="s">
        <v>757</v>
      </c>
      <c r="H253" s="12" t="s">
        <v>774</v>
      </c>
      <c r="I253" s="14">
        <v>10</v>
      </c>
      <c r="J253" s="13">
        <f>IF(B253="","",SUMIF(Bieu04A_12thang!$B:$B,B253,Bieu04A_12thang!$O:$O))</f>
        <v>636</v>
      </c>
      <c r="K253" s="23"/>
      <c r="L253" s="13">
        <f>IF(B253="","",SUMIF(Bieu04A_12thang!$B:$B,B253,Bieu04A_12thang!$AB:$AB))</f>
        <v>1415736</v>
      </c>
      <c r="M253" s="12"/>
      <c r="N253" s="12"/>
      <c r="O253" s="12"/>
      <c r="P253" s="12"/>
    </row>
    <row r="254" spans="1:16" x14ac:dyDescent="0.3">
      <c r="A254" s="11">
        <v>248</v>
      </c>
      <c r="B254" s="12" t="s">
        <v>209</v>
      </c>
      <c r="C254" s="12" t="s">
        <v>570</v>
      </c>
      <c r="D254" s="12" t="s">
        <v>153</v>
      </c>
      <c r="E254" s="12">
        <v>2</v>
      </c>
      <c r="F254" s="12" t="s">
        <v>101</v>
      </c>
      <c r="G254" s="12" t="s">
        <v>757</v>
      </c>
      <c r="H254" s="12" t="s">
        <v>774</v>
      </c>
      <c r="I254" s="14">
        <v>10</v>
      </c>
      <c r="J254" s="13">
        <f>IF(B254="","",SUMIF(Bieu04A_12thang!$B:$B,B254,Bieu04A_12thang!$O:$O))</f>
        <v>109</v>
      </c>
      <c r="K254" s="23"/>
      <c r="L254" s="13">
        <f>IF(B254="","",SUMIF(Bieu04A_12thang!$B:$B,B254,Bieu04A_12thang!$AB:$AB))</f>
        <v>242634</v>
      </c>
      <c r="M254" s="12"/>
      <c r="N254" s="12"/>
      <c r="O254" s="12"/>
      <c r="P254" s="12"/>
    </row>
    <row r="255" spans="1:16" x14ac:dyDescent="0.3">
      <c r="A255" s="11">
        <v>249</v>
      </c>
      <c r="B255" s="12" t="s">
        <v>210</v>
      </c>
      <c r="C255" s="12" t="s">
        <v>570</v>
      </c>
      <c r="D255" s="12" t="s">
        <v>153</v>
      </c>
      <c r="E255" s="12">
        <v>2</v>
      </c>
      <c r="F255" s="12" t="s">
        <v>101</v>
      </c>
      <c r="G255" s="12" t="s">
        <v>757</v>
      </c>
      <c r="H255" s="12" t="s">
        <v>774</v>
      </c>
      <c r="I255" s="14">
        <v>10</v>
      </c>
      <c r="J255" s="13">
        <f>IF(B255="","",SUMIF(Bieu04A_12thang!$B:$B,B255,Bieu04A_12thang!$O:$O))</f>
        <v>214</v>
      </c>
      <c r="K255" s="23"/>
      <c r="L255" s="13">
        <f>IF(B255="","",SUMIF(Bieu04A_12thang!$B:$B,B255,Bieu04A_12thang!$AB:$AB))</f>
        <v>476364</v>
      </c>
      <c r="M255" s="12"/>
      <c r="N255" s="12"/>
      <c r="O255" s="12"/>
      <c r="P255" s="12"/>
    </row>
    <row r="256" spans="1:16" x14ac:dyDescent="0.3">
      <c r="A256" s="11">
        <v>250</v>
      </c>
      <c r="B256" s="12" t="s">
        <v>214</v>
      </c>
      <c r="C256" s="12" t="s">
        <v>570</v>
      </c>
      <c r="D256" s="12" t="s">
        <v>153</v>
      </c>
      <c r="E256" s="12">
        <v>2</v>
      </c>
      <c r="F256" s="12" t="s">
        <v>101</v>
      </c>
      <c r="G256" s="12" t="s">
        <v>757</v>
      </c>
      <c r="H256" s="12" t="s">
        <v>774</v>
      </c>
      <c r="I256" s="14">
        <v>10</v>
      </c>
      <c r="J256" s="13">
        <f>IF(B256="","",SUMIF(Bieu04A_12thang!$B:$B,B256,Bieu04A_12thang!$O:$O))</f>
        <v>633</v>
      </c>
      <c r="K256" s="23"/>
      <c r="L256" s="13">
        <f>IF(B256="","",SUMIF(Bieu04A_12thang!$B:$B,B256,Bieu04A_12thang!$AB:$AB))</f>
        <v>1409058</v>
      </c>
      <c r="M256" s="12"/>
      <c r="N256" s="12"/>
      <c r="O256" s="12"/>
      <c r="P256" s="12"/>
    </row>
    <row r="257" spans="1:16" x14ac:dyDescent="0.3">
      <c r="A257" s="11">
        <v>251</v>
      </c>
      <c r="B257" s="12" t="s">
        <v>215</v>
      </c>
      <c r="C257" s="12" t="s">
        <v>570</v>
      </c>
      <c r="D257" s="12" t="s">
        <v>153</v>
      </c>
      <c r="E257" s="12">
        <v>2</v>
      </c>
      <c r="F257" s="12" t="s">
        <v>101</v>
      </c>
      <c r="G257" s="12" t="s">
        <v>757</v>
      </c>
      <c r="H257" s="12" t="s">
        <v>774</v>
      </c>
      <c r="I257" s="14">
        <v>10</v>
      </c>
      <c r="J257" s="13">
        <f>IF(B257="","",SUMIF(Bieu04A_12thang!$B:$B,B257,Bieu04A_12thang!$O:$O))</f>
        <v>277</v>
      </c>
      <c r="K257" s="23"/>
      <c r="L257" s="13">
        <f>IF(B257="","",SUMIF(Bieu04A_12thang!$B:$B,B257,Bieu04A_12thang!$AB:$AB))</f>
        <v>616602</v>
      </c>
      <c r="M257" s="12"/>
      <c r="N257" s="12"/>
      <c r="O257" s="12"/>
      <c r="P257" s="12"/>
    </row>
    <row r="258" spans="1:16" x14ac:dyDescent="0.3">
      <c r="A258" s="11">
        <v>252</v>
      </c>
      <c r="B258" s="12" t="s">
        <v>216</v>
      </c>
      <c r="C258" s="12" t="s">
        <v>570</v>
      </c>
      <c r="D258" s="12" t="s">
        <v>153</v>
      </c>
      <c r="E258" s="12">
        <v>2</v>
      </c>
      <c r="F258" s="12" t="s">
        <v>101</v>
      </c>
      <c r="G258" s="12" t="s">
        <v>757</v>
      </c>
      <c r="H258" s="12" t="s">
        <v>774</v>
      </c>
      <c r="I258" s="14">
        <v>10</v>
      </c>
      <c r="J258" s="13">
        <f>IF(B258="","",SUMIF(Bieu04A_12thang!$B:$B,B258,Bieu04A_12thang!$O:$O))</f>
        <v>646</v>
      </c>
      <c r="K258" s="23"/>
      <c r="L258" s="13">
        <f>IF(B258="","",SUMIF(Bieu04A_12thang!$B:$B,B258,Bieu04A_12thang!$AB:$AB))</f>
        <v>1437996</v>
      </c>
      <c r="M258" s="12"/>
      <c r="N258" s="12"/>
      <c r="O258" s="12"/>
      <c r="P258" s="12"/>
    </row>
    <row r="259" spans="1:16" x14ac:dyDescent="0.3">
      <c r="A259" s="11">
        <v>253</v>
      </c>
      <c r="B259" s="12" t="s">
        <v>219</v>
      </c>
      <c r="C259" s="12" t="s">
        <v>570</v>
      </c>
      <c r="D259" s="12" t="s">
        <v>153</v>
      </c>
      <c r="E259" s="12">
        <v>2</v>
      </c>
      <c r="F259" s="12" t="s">
        <v>101</v>
      </c>
      <c r="G259" s="12" t="s">
        <v>757</v>
      </c>
      <c r="H259" s="12" t="s">
        <v>774</v>
      </c>
      <c r="I259" s="14">
        <v>10</v>
      </c>
      <c r="J259" s="13">
        <f>IF(B259="","",SUMIF(Bieu04A_12thang!$B:$B,B259,Bieu04A_12thang!$O:$O))</f>
        <v>550</v>
      </c>
      <c r="K259" s="23"/>
      <c r="L259" s="13">
        <f>IF(B259="","",SUMIF(Bieu04A_12thang!$B:$B,B259,Bieu04A_12thang!$AB:$AB))</f>
        <v>1224300</v>
      </c>
      <c r="M259" s="12"/>
      <c r="N259" s="12"/>
      <c r="O259" s="12"/>
      <c r="P259" s="12"/>
    </row>
    <row r="260" spans="1:16" x14ac:dyDescent="0.3">
      <c r="A260" s="11">
        <v>254</v>
      </c>
      <c r="B260" s="12" t="s">
        <v>223</v>
      </c>
      <c r="C260" s="12" t="s">
        <v>571</v>
      </c>
      <c r="D260" s="12" t="s">
        <v>153</v>
      </c>
      <c r="E260" s="12">
        <v>2</v>
      </c>
      <c r="F260" s="12" t="s">
        <v>101</v>
      </c>
      <c r="G260" s="12" t="s">
        <v>757</v>
      </c>
      <c r="H260" s="12" t="s">
        <v>774</v>
      </c>
      <c r="I260" s="14">
        <v>10</v>
      </c>
      <c r="J260" s="13">
        <f>IF(B260="","",SUMIF(Bieu04A_12thang!$B:$B,B260,Bieu04A_12thang!$O:$O))</f>
        <v>15118</v>
      </c>
      <c r="K260" s="23"/>
      <c r="L260" s="13">
        <f>IF(B260="","",SUMIF(Bieu04A_12thang!$B:$B,B260,Bieu04A_12thang!$AB:$AB))</f>
        <v>33652668</v>
      </c>
      <c r="M260" s="12"/>
      <c r="N260" s="12"/>
      <c r="O260" s="12"/>
      <c r="P260" s="12"/>
    </row>
    <row r="261" spans="1:16" x14ac:dyDescent="0.3">
      <c r="A261" s="11">
        <v>255</v>
      </c>
      <c r="B261" s="12" t="s">
        <v>224</v>
      </c>
      <c r="C261" s="12" t="s">
        <v>572</v>
      </c>
      <c r="D261" s="12" t="s">
        <v>153</v>
      </c>
      <c r="E261" s="12">
        <v>2</v>
      </c>
      <c r="F261" s="12" t="s">
        <v>101</v>
      </c>
      <c r="G261" s="12" t="s">
        <v>757</v>
      </c>
      <c r="H261" s="12" t="s">
        <v>774</v>
      </c>
      <c r="I261" s="14">
        <v>10</v>
      </c>
      <c r="J261" s="13">
        <f>IF(B261="","",SUMIF(Bieu04A_12thang!$B:$B,B261,Bieu04A_12thang!$O:$O))</f>
        <v>14655</v>
      </c>
      <c r="K261" s="23"/>
      <c r="L261" s="13">
        <f>IF(B261="","",SUMIF(Bieu04A_12thang!$B:$B,B261,Bieu04A_12thang!$AB:$AB))</f>
        <v>32622030</v>
      </c>
      <c r="M261" s="12"/>
      <c r="N261" s="12"/>
      <c r="O261" s="12"/>
      <c r="P261" s="12"/>
    </row>
    <row r="262" spans="1:16" x14ac:dyDescent="0.3">
      <c r="A262" s="11">
        <v>256</v>
      </c>
      <c r="B262" s="12" t="s">
        <v>228</v>
      </c>
      <c r="C262" s="12" t="s">
        <v>576</v>
      </c>
      <c r="D262" s="12" t="s">
        <v>153</v>
      </c>
      <c r="E262" s="12">
        <v>2</v>
      </c>
      <c r="F262" s="12"/>
      <c r="G262" s="12" t="s">
        <v>758</v>
      </c>
      <c r="H262" s="12" t="s">
        <v>774</v>
      </c>
      <c r="I262" s="14">
        <v>127</v>
      </c>
      <c r="J262" s="13">
        <f>IF(B262="","",SUMIF(Bieu04A_12thang!$B:$B,B262,Bieu04A_12thang!$O:$O))</f>
        <v>6334</v>
      </c>
      <c r="K262" s="23"/>
      <c r="L262" s="13">
        <f>IF(B262="","",SUMIF(Bieu04A_12thang!$B:$B,B262,Bieu04A_12thang!$AB:$AB))</f>
        <v>13124048</v>
      </c>
      <c r="M262" s="12"/>
      <c r="N262" s="12"/>
      <c r="O262" s="12"/>
      <c r="P262" s="12"/>
    </row>
    <row r="263" spans="1:16" x14ac:dyDescent="0.3">
      <c r="A263" s="11">
        <v>257</v>
      </c>
      <c r="B263" s="12" t="s">
        <v>229</v>
      </c>
      <c r="C263" s="12" t="s">
        <v>577</v>
      </c>
      <c r="D263" s="12" t="s">
        <v>153</v>
      </c>
      <c r="E263" s="12">
        <v>2</v>
      </c>
      <c r="F263" s="12" t="s">
        <v>101</v>
      </c>
      <c r="G263" s="12" t="s">
        <v>757</v>
      </c>
      <c r="H263" s="12" t="s">
        <v>774</v>
      </c>
      <c r="I263" s="14">
        <v>10</v>
      </c>
      <c r="J263" s="13">
        <f>IF(B263="","",SUMIF(Bieu04A_12thang!$B:$B,B263,Bieu04A_12thang!$O:$O))</f>
        <v>1486</v>
      </c>
      <c r="K263" s="23"/>
      <c r="L263" s="13">
        <f>IF(B263="","",SUMIF(Bieu04A_12thang!$B:$B,B263,Bieu04A_12thang!$AB:$AB))</f>
        <v>3307836</v>
      </c>
      <c r="M263" s="12"/>
      <c r="N263" s="12"/>
      <c r="O263" s="12"/>
      <c r="P263" s="12"/>
    </row>
    <row r="264" spans="1:16" x14ac:dyDescent="0.3">
      <c r="A264" s="11">
        <v>258</v>
      </c>
      <c r="B264" s="12" t="s">
        <v>288</v>
      </c>
      <c r="C264" s="12" t="s">
        <v>596</v>
      </c>
      <c r="D264" s="12" t="s">
        <v>153</v>
      </c>
      <c r="E264" s="12">
        <v>2</v>
      </c>
      <c r="F264" s="12" t="s">
        <v>101</v>
      </c>
      <c r="G264" s="12" t="s">
        <v>758</v>
      </c>
      <c r="H264" s="12" t="s">
        <v>774</v>
      </c>
      <c r="I264" s="14">
        <v>127</v>
      </c>
      <c r="J264" s="13">
        <f>IF(B264="","",SUMIF(Bieu04A_12thang!$B:$B,B264,Bieu04A_12thang!$O:$O))</f>
        <v>16925</v>
      </c>
      <c r="K264" s="23"/>
      <c r="L264" s="13">
        <f>IF(B264="","",SUMIF(Bieu04A_12thang!$B:$B,B264,Bieu04A_12thang!$AB:$AB))</f>
        <v>37675050</v>
      </c>
      <c r="M264" s="12"/>
      <c r="N264" s="12"/>
      <c r="O264" s="12"/>
      <c r="P264" s="12"/>
    </row>
    <row r="265" spans="1:16" x14ac:dyDescent="0.3">
      <c r="A265" s="11">
        <v>259</v>
      </c>
      <c r="B265" s="12" t="s">
        <v>305</v>
      </c>
      <c r="C265" s="12" t="s">
        <v>611</v>
      </c>
      <c r="D265" s="12" t="s">
        <v>153</v>
      </c>
      <c r="E265" s="12">
        <v>1</v>
      </c>
      <c r="F265" s="12" t="s">
        <v>101</v>
      </c>
      <c r="G265" s="12" t="s">
        <v>757</v>
      </c>
      <c r="H265" s="12" t="s">
        <v>774</v>
      </c>
      <c r="I265" s="14">
        <v>10</v>
      </c>
      <c r="J265" s="13">
        <f>IF(B265="","",SUMIF(Bieu04A_12thang!$B:$B,B265,Bieu04A_12thang!$O:$O))</f>
        <v>19527</v>
      </c>
      <c r="K265" s="23"/>
      <c r="L265" s="13">
        <f>IF(B265="","",SUMIF(Bieu04A_12thang!$B:$B,B265,Bieu04A_12thang!$AB:$AB))</f>
        <v>40459944</v>
      </c>
      <c r="M265" s="12"/>
      <c r="N265" s="12"/>
      <c r="O265" s="12"/>
      <c r="P265" s="12"/>
    </row>
    <row r="266" spans="1:16" x14ac:dyDescent="0.3">
      <c r="A266" s="11">
        <v>260</v>
      </c>
      <c r="B266" s="12" t="s">
        <v>306</v>
      </c>
      <c r="C266" s="12" t="s">
        <v>611</v>
      </c>
      <c r="D266" s="12" t="s">
        <v>153</v>
      </c>
      <c r="E266" s="12">
        <v>1</v>
      </c>
      <c r="F266" s="12" t="s">
        <v>101</v>
      </c>
      <c r="G266" s="12" t="s">
        <v>758</v>
      </c>
      <c r="H266" s="12" t="s">
        <v>774</v>
      </c>
      <c r="I266" s="14">
        <v>127</v>
      </c>
      <c r="J266" s="13">
        <f>IF(B266="","",SUMIF(Bieu04A_12thang!$B:$B,B266,Bieu04A_12thang!$O:$O))</f>
        <v>12749</v>
      </c>
      <c r="K266" s="23"/>
      <c r="L266" s="13">
        <f>IF(B266="","",SUMIF(Bieu04A_12thang!$B:$B,B266,Bieu04A_12thang!$AB:$AB))</f>
        <v>26415928</v>
      </c>
      <c r="M266" s="12"/>
      <c r="N266" s="12"/>
      <c r="O266" s="12"/>
      <c r="P266" s="12"/>
    </row>
    <row r="267" spans="1:16" x14ac:dyDescent="0.3">
      <c r="A267" s="11">
        <v>261</v>
      </c>
      <c r="B267" s="12" t="s">
        <v>307</v>
      </c>
      <c r="C267" s="12" t="s">
        <v>612</v>
      </c>
      <c r="D267" s="12" t="s">
        <v>153</v>
      </c>
      <c r="E267" s="12">
        <v>1</v>
      </c>
      <c r="F267" s="12" t="s">
        <v>101</v>
      </c>
      <c r="G267" s="12" t="s">
        <v>757</v>
      </c>
      <c r="H267" s="12" t="s">
        <v>774</v>
      </c>
      <c r="I267" s="14">
        <v>10</v>
      </c>
      <c r="J267" s="13">
        <f>IF(B267="","",SUMIF(Bieu04A_12thang!$B:$B,B267,Bieu04A_12thang!$O:$O))</f>
        <v>7066</v>
      </c>
      <c r="K267" s="23"/>
      <c r="L267" s="13">
        <f>IF(B267="","",SUMIF(Bieu04A_12thang!$B:$B,B267,Bieu04A_12thang!$AB:$AB))</f>
        <v>14640752</v>
      </c>
      <c r="M267" s="12"/>
      <c r="N267" s="12"/>
      <c r="O267" s="12"/>
      <c r="P267" s="12"/>
    </row>
    <row r="268" spans="1:16" x14ac:dyDescent="0.3">
      <c r="A268" s="11">
        <v>262</v>
      </c>
      <c r="B268" s="12" t="s">
        <v>308</v>
      </c>
      <c r="C268" s="12" t="s">
        <v>613</v>
      </c>
      <c r="D268" s="12" t="s">
        <v>153</v>
      </c>
      <c r="E268" s="12">
        <v>1</v>
      </c>
      <c r="F268" s="12" t="s">
        <v>101</v>
      </c>
      <c r="G268" s="12" t="s">
        <v>757</v>
      </c>
      <c r="H268" s="12" t="s">
        <v>774</v>
      </c>
      <c r="I268" s="14">
        <v>10</v>
      </c>
      <c r="J268" s="13">
        <f>IF(B268="","",SUMIF(Bieu04A_12thang!$B:$B,B268,Bieu04A_12thang!$O:$O))</f>
        <v>6109</v>
      </c>
      <c r="K268" s="23"/>
      <c r="L268" s="13">
        <f>IF(B268="","",SUMIF(Bieu04A_12thang!$B:$B,B268,Bieu04A_12thang!$AB:$AB))</f>
        <v>12657848</v>
      </c>
      <c r="M268" s="12"/>
      <c r="N268" s="12"/>
      <c r="O268" s="12"/>
      <c r="P268" s="12"/>
    </row>
    <row r="269" spans="1:16" x14ac:dyDescent="0.3">
      <c r="A269" s="11">
        <v>263</v>
      </c>
      <c r="B269" s="12" t="s">
        <v>315</v>
      </c>
      <c r="C269" s="12" t="s">
        <v>617</v>
      </c>
      <c r="D269" s="12" t="s">
        <v>153</v>
      </c>
      <c r="E269" s="12">
        <v>2</v>
      </c>
      <c r="F269" s="12" t="s">
        <v>101</v>
      </c>
      <c r="G269" s="12" t="s">
        <v>758</v>
      </c>
      <c r="H269" s="12" t="s">
        <v>775</v>
      </c>
      <c r="I269" s="14">
        <v>127</v>
      </c>
      <c r="J269" s="13">
        <f>IF(B269="","",SUMIF(Bieu04A_12thang!$B:$B,B269,Bieu04A_12thang!$O:$O))</f>
        <v>556046</v>
      </c>
      <c r="K269" s="23"/>
      <c r="L269" s="13">
        <f>IF(B269="","",SUMIF(Bieu04A_12thang!$B:$B,B269,Bieu04A_12thang!$AB:$AB))</f>
        <v>1188826348</v>
      </c>
      <c r="M269" s="12"/>
      <c r="N269" s="12"/>
      <c r="O269" s="12"/>
      <c r="P269" s="12"/>
    </row>
    <row r="270" spans="1:16" x14ac:dyDescent="0.3">
      <c r="A270" s="11">
        <v>264</v>
      </c>
      <c r="B270" s="12" t="s">
        <v>353</v>
      </c>
      <c r="C270" s="12" t="s">
        <v>633</v>
      </c>
      <c r="D270" s="12" t="s">
        <v>153</v>
      </c>
      <c r="E270" s="12">
        <v>2</v>
      </c>
      <c r="F270" s="12" t="s">
        <v>101</v>
      </c>
      <c r="G270" s="12" t="s">
        <v>758</v>
      </c>
      <c r="H270" s="12" t="s">
        <v>774</v>
      </c>
      <c r="I270" s="14">
        <v>73</v>
      </c>
      <c r="J270" s="13">
        <f>IF(B270="","",SUMIF(Bieu04A_12thang!$B:$B,B270,Bieu04A_12thang!$O:$O))</f>
        <v>0</v>
      </c>
      <c r="K270" s="23"/>
      <c r="L270" s="13">
        <f>IF(B270="","",SUMIF(Bieu04A_12thang!$B:$B,B270,Bieu04A_12thang!$AB:$AB))</f>
        <v>0</v>
      </c>
      <c r="M270" s="12"/>
      <c r="N270" s="12"/>
      <c r="O270" s="12"/>
      <c r="P270" s="12"/>
    </row>
    <row r="271" spans="1:16" x14ac:dyDescent="0.3">
      <c r="A271" s="11">
        <v>265</v>
      </c>
      <c r="B271" s="12" t="s">
        <v>354</v>
      </c>
      <c r="C271" s="12" t="s">
        <v>634</v>
      </c>
      <c r="D271" s="12" t="s">
        <v>153</v>
      </c>
      <c r="E271" s="12">
        <v>2</v>
      </c>
      <c r="F271" s="12" t="s">
        <v>101</v>
      </c>
      <c r="G271" s="12" t="s">
        <v>757</v>
      </c>
      <c r="H271" s="12" t="s">
        <v>774</v>
      </c>
      <c r="I271" s="14">
        <v>10</v>
      </c>
      <c r="J271" s="13">
        <f>IF(B271="","",SUMIF(Bieu04A_12thang!$B:$B,B271,Bieu04A_12thang!$O:$O))</f>
        <v>0</v>
      </c>
      <c r="K271" s="23"/>
      <c r="L271" s="13">
        <f>IF(B271="","",SUMIF(Bieu04A_12thang!$B:$B,B271,Bieu04A_12thang!$AB:$AB))</f>
        <v>0</v>
      </c>
      <c r="M271" s="12"/>
      <c r="N271" s="12"/>
      <c r="O271" s="12"/>
      <c r="P271" s="12"/>
    </row>
    <row r="272" spans="1:16" x14ac:dyDescent="0.3">
      <c r="A272" s="11">
        <v>266</v>
      </c>
      <c r="B272" s="12" t="s">
        <v>355</v>
      </c>
      <c r="C272" s="12" t="s">
        <v>635</v>
      </c>
      <c r="D272" s="12" t="s">
        <v>153</v>
      </c>
      <c r="E272" s="12">
        <v>2</v>
      </c>
      <c r="F272" s="12" t="s">
        <v>101</v>
      </c>
      <c r="G272" s="12" t="s">
        <v>758</v>
      </c>
      <c r="H272" s="12" t="s">
        <v>775</v>
      </c>
      <c r="I272" s="14">
        <v>127</v>
      </c>
      <c r="J272" s="13">
        <f>IF(B272="","",SUMIF(Bieu04A_12thang!$B:$B,B272,Bieu04A_12thang!$O:$O))</f>
        <v>957169</v>
      </c>
      <c r="K272" s="23"/>
      <c r="L272" s="13">
        <f>IF(B272="","",SUMIF(Bieu04A_12thang!$B:$B,B272,Bieu04A_12thang!$AB:$AB))</f>
        <v>2046427322</v>
      </c>
      <c r="M272" s="12"/>
      <c r="N272" s="12"/>
      <c r="O272" s="12"/>
      <c r="P272" s="12"/>
    </row>
    <row r="273" spans="1:16" x14ac:dyDescent="0.3">
      <c r="A273" s="11">
        <v>267</v>
      </c>
      <c r="B273" s="12" t="s">
        <v>356</v>
      </c>
      <c r="C273" s="12" t="s">
        <v>636</v>
      </c>
      <c r="D273" s="12" t="s">
        <v>153</v>
      </c>
      <c r="E273" s="12">
        <v>2</v>
      </c>
      <c r="F273" s="12" t="s">
        <v>101</v>
      </c>
      <c r="G273" s="12" t="s">
        <v>757</v>
      </c>
      <c r="H273" s="12" t="s">
        <v>774</v>
      </c>
      <c r="I273" s="14">
        <v>10</v>
      </c>
      <c r="J273" s="13">
        <f>IF(B273="","",SUMIF(Bieu04A_12thang!$B:$B,B273,Bieu04A_12thang!$O:$O))</f>
        <v>10571</v>
      </c>
      <c r="K273" s="23"/>
      <c r="L273" s="13">
        <f>IF(B273="","",SUMIF(Bieu04A_12thang!$B:$B,B273,Bieu04A_12thang!$AB:$AB))</f>
        <v>23531046</v>
      </c>
      <c r="M273" s="12"/>
      <c r="N273" s="12"/>
      <c r="O273" s="12"/>
      <c r="P273" s="12"/>
    </row>
    <row r="274" spans="1:16" x14ac:dyDescent="0.3">
      <c r="A274" s="11">
        <v>268</v>
      </c>
      <c r="B274" s="12" t="s">
        <v>383</v>
      </c>
      <c r="C274" s="12" t="s">
        <v>654</v>
      </c>
      <c r="D274" s="12" t="s">
        <v>153</v>
      </c>
      <c r="E274" s="12">
        <v>1</v>
      </c>
      <c r="F274" s="12" t="s">
        <v>101</v>
      </c>
      <c r="G274" s="12" t="s">
        <v>757</v>
      </c>
      <c r="H274" s="12" t="s">
        <v>774</v>
      </c>
      <c r="I274" s="14">
        <v>10</v>
      </c>
      <c r="J274" s="13">
        <f>IF(B274="","",SUMIF(Bieu04A_12thang!$B:$B,B274,Bieu04A_12thang!$O:$O))</f>
        <v>2908</v>
      </c>
      <c r="K274" s="23"/>
      <c r="L274" s="13">
        <f>IF(B274="","",SUMIF(Bieu04A_12thang!$B:$B,B274,Bieu04A_12thang!$AB:$AB))</f>
        <v>6025376</v>
      </c>
      <c r="M274" s="12"/>
      <c r="N274" s="12"/>
      <c r="O274" s="12"/>
      <c r="P274" s="12"/>
    </row>
    <row r="275" spans="1:16" x14ac:dyDescent="0.3">
      <c r="A275" s="11">
        <v>269</v>
      </c>
      <c r="B275" s="12" t="s">
        <v>384</v>
      </c>
      <c r="C275" s="12" t="s">
        <v>654</v>
      </c>
      <c r="D275" s="12" t="s">
        <v>153</v>
      </c>
      <c r="E275" s="12">
        <v>1</v>
      </c>
      <c r="F275" s="12" t="s">
        <v>101</v>
      </c>
      <c r="G275" s="12" t="s">
        <v>757</v>
      </c>
      <c r="H275" s="12" t="s">
        <v>774</v>
      </c>
      <c r="I275" s="14">
        <v>10</v>
      </c>
      <c r="J275" s="13">
        <f>IF(B275="","",SUMIF(Bieu04A_12thang!$B:$B,B275,Bieu04A_12thang!$O:$O))</f>
        <v>3147</v>
      </c>
      <c r="K275" s="23"/>
      <c r="L275" s="13">
        <f>IF(B275="","",SUMIF(Bieu04A_12thang!$B:$B,B275,Bieu04A_12thang!$AB:$AB))</f>
        <v>6520584</v>
      </c>
      <c r="M275" s="12"/>
      <c r="N275" s="12"/>
      <c r="O275" s="12"/>
      <c r="P275" s="12"/>
    </row>
    <row r="276" spans="1:16" x14ac:dyDescent="0.3">
      <c r="A276" s="11">
        <v>270</v>
      </c>
      <c r="B276" s="12" t="s">
        <v>385</v>
      </c>
      <c r="C276" s="12" t="s">
        <v>655</v>
      </c>
      <c r="D276" s="12" t="s">
        <v>153</v>
      </c>
      <c r="E276" s="12">
        <v>1</v>
      </c>
      <c r="F276" s="12" t="s">
        <v>101</v>
      </c>
      <c r="G276" s="12" t="s">
        <v>758</v>
      </c>
      <c r="H276" s="12" t="s">
        <v>774</v>
      </c>
      <c r="I276" s="14">
        <v>127</v>
      </c>
      <c r="J276" s="13">
        <f>IF(B276="","",SUMIF(Bieu04A_12thang!$B:$B,B276,Bieu04A_12thang!$O:$O))</f>
        <v>32912</v>
      </c>
      <c r="K276" s="23"/>
      <c r="L276" s="13">
        <f>IF(B276="","",SUMIF(Bieu04A_12thang!$B:$B,B276,Bieu04A_12thang!$AB:$AB))</f>
        <v>68193664</v>
      </c>
      <c r="M276" s="12"/>
      <c r="N276" s="12"/>
      <c r="O276" s="12"/>
      <c r="P276" s="12"/>
    </row>
    <row r="277" spans="1:16" x14ac:dyDescent="0.3">
      <c r="A277" s="11">
        <v>271</v>
      </c>
      <c r="B277" s="12" t="s">
        <v>386</v>
      </c>
      <c r="C277" s="12" t="s">
        <v>656</v>
      </c>
      <c r="D277" s="12" t="s">
        <v>153</v>
      </c>
      <c r="E277" s="12">
        <v>1</v>
      </c>
      <c r="F277" s="12" t="s">
        <v>101</v>
      </c>
      <c r="G277" s="12" t="s">
        <v>757</v>
      </c>
      <c r="H277" s="12" t="s">
        <v>774</v>
      </c>
      <c r="I277" s="14">
        <v>10</v>
      </c>
      <c r="J277" s="13">
        <f>IF(B277="","",SUMIF(Bieu04A_12thang!$B:$B,B277,Bieu04A_12thang!$O:$O))</f>
        <v>1055</v>
      </c>
      <c r="K277" s="23"/>
      <c r="L277" s="13">
        <f>IF(B277="","",SUMIF(Bieu04A_12thang!$B:$B,B277,Bieu04A_12thang!$AB:$AB))</f>
        <v>2185960</v>
      </c>
      <c r="M277" s="12"/>
      <c r="N277" s="12"/>
      <c r="O277" s="12"/>
      <c r="P277" s="12"/>
    </row>
    <row r="278" spans="1:16" x14ac:dyDescent="0.3">
      <c r="A278" s="11">
        <v>272</v>
      </c>
      <c r="B278" s="12" t="s">
        <v>387</v>
      </c>
      <c r="C278" s="12" t="s">
        <v>657</v>
      </c>
      <c r="D278" s="12" t="s">
        <v>153</v>
      </c>
      <c r="E278" s="12">
        <v>1</v>
      </c>
      <c r="F278" s="12" t="s">
        <v>101</v>
      </c>
      <c r="G278" s="12" t="s">
        <v>757</v>
      </c>
      <c r="H278" s="12" t="s">
        <v>774</v>
      </c>
      <c r="I278" s="14">
        <v>10</v>
      </c>
      <c r="J278" s="13">
        <f>IF(B278="","",SUMIF(Bieu04A_12thang!$B:$B,B278,Bieu04A_12thang!$O:$O))</f>
        <v>4113</v>
      </c>
      <c r="K278" s="23"/>
      <c r="L278" s="13">
        <f>IF(B278="","",SUMIF(Bieu04A_12thang!$B:$B,B278,Bieu04A_12thang!$AB:$AB))</f>
        <v>8522136</v>
      </c>
      <c r="M278" s="12"/>
      <c r="N278" s="12"/>
      <c r="O278" s="12"/>
      <c r="P278" s="12"/>
    </row>
    <row r="279" spans="1:16" x14ac:dyDescent="0.3">
      <c r="A279" s="11">
        <v>273</v>
      </c>
      <c r="B279" s="12" t="s">
        <v>388</v>
      </c>
      <c r="C279" s="12" t="s">
        <v>658</v>
      </c>
      <c r="D279" s="12" t="s">
        <v>153</v>
      </c>
      <c r="E279" s="12">
        <v>1</v>
      </c>
      <c r="F279" s="12" t="s">
        <v>101</v>
      </c>
      <c r="G279" s="12" t="s">
        <v>757</v>
      </c>
      <c r="H279" s="12" t="s">
        <v>774</v>
      </c>
      <c r="I279" s="14">
        <v>18</v>
      </c>
      <c r="J279" s="13">
        <f>IF(B279="","",SUMIF(Bieu04A_12thang!$B:$B,B279,Bieu04A_12thang!$O:$O))</f>
        <v>30422</v>
      </c>
      <c r="K279" s="23"/>
      <c r="L279" s="13">
        <f>IF(B279="","",SUMIF(Bieu04A_12thang!$B:$B,B279,Bieu04A_12thang!$AB:$AB))</f>
        <v>63034384</v>
      </c>
      <c r="M279" s="12"/>
      <c r="N279" s="12"/>
      <c r="O279" s="12"/>
      <c r="P279" s="12"/>
    </row>
    <row r="280" spans="1:16" x14ac:dyDescent="0.3">
      <c r="A280" s="11">
        <v>274</v>
      </c>
      <c r="B280" s="12" t="s">
        <v>392</v>
      </c>
      <c r="C280" s="12" t="s">
        <v>662</v>
      </c>
      <c r="D280" s="12" t="s">
        <v>153</v>
      </c>
      <c r="E280" s="12">
        <v>1</v>
      </c>
      <c r="F280" s="12" t="s">
        <v>101</v>
      </c>
      <c r="G280" s="12" t="s">
        <v>757</v>
      </c>
      <c r="H280" s="12" t="s">
        <v>774</v>
      </c>
      <c r="I280" s="14">
        <v>10</v>
      </c>
      <c r="J280" s="13">
        <f>IF(B280="","",SUMIF(Bieu04A_12thang!$B:$B,B280,Bieu04A_12thang!$O:$O))</f>
        <v>1841</v>
      </c>
      <c r="K280" s="23"/>
      <c r="L280" s="13">
        <f>IF(B280="","",SUMIF(Bieu04A_12thang!$B:$B,B280,Bieu04A_12thang!$AB:$AB))</f>
        <v>3814552</v>
      </c>
      <c r="M280" s="12"/>
      <c r="N280" s="12"/>
      <c r="O280" s="12"/>
      <c r="P280" s="12"/>
    </row>
    <row r="281" spans="1:16" x14ac:dyDescent="0.3">
      <c r="A281" s="11">
        <v>275</v>
      </c>
      <c r="B281" s="12" t="s">
        <v>393</v>
      </c>
      <c r="C281" s="12" t="s">
        <v>663</v>
      </c>
      <c r="D281" s="12" t="s">
        <v>153</v>
      </c>
      <c r="E281" s="12">
        <v>1</v>
      </c>
      <c r="F281" s="12" t="s">
        <v>101</v>
      </c>
      <c r="G281" s="12" t="s">
        <v>758</v>
      </c>
      <c r="H281" s="12" t="s">
        <v>774</v>
      </c>
      <c r="I281" s="14">
        <v>127</v>
      </c>
      <c r="J281" s="13">
        <f>IF(B281="","",SUMIF(Bieu04A_12thang!$B:$B,B281,Bieu04A_12thang!$O:$O))</f>
        <v>22093</v>
      </c>
      <c r="K281" s="23"/>
      <c r="L281" s="13">
        <f>IF(B281="","",SUMIF(Bieu04A_12thang!$B:$B,B281,Bieu04A_12thang!$AB:$AB))</f>
        <v>45776696</v>
      </c>
      <c r="M281" s="12"/>
      <c r="N281" s="12"/>
      <c r="O281" s="12"/>
      <c r="P281" s="12"/>
    </row>
    <row r="282" spans="1:16" x14ac:dyDescent="0.3">
      <c r="A282" s="11">
        <v>276</v>
      </c>
      <c r="B282" s="12" t="s">
        <v>418</v>
      </c>
      <c r="C282" s="12" t="s">
        <v>682</v>
      </c>
      <c r="D282" s="12" t="s">
        <v>153</v>
      </c>
      <c r="E282" s="12">
        <v>1</v>
      </c>
      <c r="F282" s="12" t="s">
        <v>101</v>
      </c>
      <c r="G282" s="12" t="s">
        <v>757</v>
      </c>
      <c r="H282" s="12" t="s">
        <v>774</v>
      </c>
      <c r="I282" s="14">
        <v>10</v>
      </c>
      <c r="J282" s="13">
        <f>IF(B282="","",SUMIF(Bieu04A_12thang!$B:$B,B282,Bieu04A_12thang!$O:$O))</f>
        <v>7150</v>
      </c>
      <c r="K282" s="23"/>
      <c r="L282" s="13">
        <f>IF(B282="","",SUMIF(Bieu04A_12thang!$B:$B,B282,Bieu04A_12thang!$AB:$AB))</f>
        <v>14814800</v>
      </c>
      <c r="M282" s="12"/>
      <c r="N282" s="12"/>
      <c r="O282" s="12"/>
      <c r="P282" s="12"/>
    </row>
    <row r="283" spans="1:16" x14ac:dyDescent="0.3">
      <c r="A283" s="11">
        <v>277</v>
      </c>
      <c r="B283" s="12" t="s">
        <v>420</v>
      </c>
      <c r="C283" s="12" t="s">
        <v>684</v>
      </c>
      <c r="D283" s="12" t="s">
        <v>153</v>
      </c>
      <c r="E283" s="12">
        <v>1</v>
      </c>
      <c r="F283" s="12" t="s">
        <v>101</v>
      </c>
      <c r="G283" s="12" t="s">
        <v>758</v>
      </c>
      <c r="H283" s="12" t="s">
        <v>774</v>
      </c>
      <c r="I283" s="14">
        <v>127</v>
      </c>
      <c r="J283" s="13">
        <f>IF(B283="","",SUMIF(Bieu04A_12thang!$B:$B,B283,Bieu04A_12thang!$O:$O))</f>
        <v>33417</v>
      </c>
      <c r="K283" s="23"/>
      <c r="L283" s="13">
        <f>IF(B283="","",SUMIF(Bieu04A_12thang!$B:$B,B283,Bieu04A_12thang!$AB:$AB))</f>
        <v>69240024</v>
      </c>
      <c r="M283" s="12"/>
      <c r="N283" s="12"/>
      <c r="O283" s="12"/>
      <c r="P283" s="12"/>
    </row>
    <row r="284" spans="1:16" x14ac:dyDescent="0.3">
      <c r="A284" s="11">
        <v>278</v>
      </c>
      <c r="B284" s="12" t="s">
        <v>421</v>
      </c>
      <c r="C284" s="12" t="s">
        <v>685</v>
      </c>
      <c r="D284" s="12" t="s">
        <v>153</v>
      </c>
      <c r="E284" s="12">
        <v>1</v>
      </c>
      <c r="F284" s="12" t="s">
        <v>101</v>
      </c>
      <c r="G284" s="12" t="s">
        <v>758</v>
      </c>
      <c r="H284" s="12" t="s">
        <v>774</v>
      </c>
      <c r="I284" s="14">
        <v>127</v>
      </c>
      <c r="J284" s="13">
        <f>IF(B284="","",SUMIF(Bieu04A_12thang!$B:$B,B284,Bieu04A_12thang!$O:$O))</f>
        <v>24237</v>
      </c>
      <c r="K284" s="23"/>
      <c r="L284" s="13">
        <f>IF(B284="","",SUMIF(Bieu04A_12thang!$B:$B,B284,Bieu04A_12thang!$AB:$AB))</f>
        <v>50219064</v>
      </c>
      <c r="M284" s="12"/>
      <c r="N284" s="12"/>
      <c r="O284" s="12"/>
      <c r="P284" s="12"/>
    </row>
    <row r="285" spans="1:16" x14ac:dyDescent="0.3">
      <c r="A285" s="11">
        <v>279</v>
      </c>
      <c r="B285" s="12" t="s">
        <v>422</v>
      </c>
      <c r="C285" s="12" t="s">
        <v>686</v>
      </c>
      <c r="D285" s="12" t="s">
        <v>153</v>
      </c>
      <c r="E285" s="12">
        <v>1</v>
      </c>
      <c r="F285" s="12" t="s">
        <v>101</v>
      </c>
      <c r="G285" s="12" t="s">
        <v>758</v>
      </c>
      <c r="H285" s="12" t="s">
        <v>774</v>
      </c>
      <c r="I285" s="14">
        <v>127</v>
      </c>
      <c r="J285" s="13">
        <f>IF(B285="","",SUMIF(Bieu04A_12thang!$B:$B,B285,Bieu04A_12thang!$O:$O))</f>
        <v>16684</v>
      </c>
      <c r="K285" s="23"/>
      <c r="L285" s="13">
        <f>IF(B285="","",SUMIF(Bieu04A_12thang!$B:$B,B285,Bieu04A_12thang!$AB:$AB))</f>
        <v>34569248</v>
      </c>
      <c r="M285" s="12"/>
      <c r="N285" s="12"/>
      <c r="O285" s="12"/>
      <c r="P285" s="12"/>
    </row>
    <row r="286" spans="1:16" x14ac:dyDescent="0.3">
      <c r="A286" s="11">
        <v>280</v>
      </c>
      <c r="B286" s="12" t="s">
        <v>427</v>
      </c>
      <c r="C286" s="12" t="s">
        <v>689</v>
      </c>
      <c r="D286" s="12" t="s">
        <v>153</v>
      </c>
      <c r="E286" s="12">
        <v>1</v>
      </c>
      <c r="F286" s="12" t="s">
        <v>101</v>
      </c>
      <c r="G286" s="12" t="s">
        <v>758</v>
      </c>
      <c r="H286" s="12" t="s">
        <v>774</v>
      </c>
      <c r="I286" s="14">
        <v>127</v>
      </c>
      <c r="J286" s="13">
        <f>IF(B286="","",SUMIF(Bieu04A_12thang!$B:$B,B286,Bieu04A_12thang!$O:$O))</f>
        <v>14621</v>
      </c>
      <c r="K286" s="23"/>
      <c r="L286" s="13">
        <f>IF(B286="","",SUMIF(Bieu04A_12thang!$B:$B,B286,Bieu04A_12thang!$AB:$AB))</f>
        <v>30413600</v>
      </c>
      <c r="M286" s="12"/>
      <c r="N286" s="12"/>
      <c r="O286" s="12"/>
      <c r="P286" s="12"/>
    </row>
    <row r="287" spans="1:16" x14ac:dyDescent="0.3">
      <c r="A287" s="11">
        <v>281</v>
      </c>
      <c r="B287" s="12" t="s">
        <v>428</v>
      </c>
      <c r="C287" s="12" t="s">
        <v>690</v>
      </c>
      <c r="D287" s="12" t="s">
        <v>153</v>
      </c>
      <c r="E287" s="12">
        <v>1</v>
      </c>
      <c r="F287" s="12" t="s">
        <v>101</v>
      </c>
      <c r="G287" s="12" t="s">
        <v>757</v>
      </c>
      <c r="H287" s="12" t="s">
        <v>774</v>
      </c>
      <c r="I287" s="14">
        <v>18</v>
      </c>
      <c r="J287" s="13">
        <f>IF(B287="","",SUMIF(Bieu04A_12thang!$B:$B,B287,Bieu04A_12thang!$O:$O))</f>
        <v>32021</v>
      </c>
      <c r="K287" s="23"/>
      <c r="L287" s="13">
        <f>IF(B287="","",SUMIF(Bieu04A_12thang!$B:$B,B287,Bieu04A_12thang!$AB:$AB))</f>
        <v>66347512</v>
      </c>
      <c r="M287" s="12"/>
      <c r="N287" s="12"/>
      <c r="O287" s="12"/>
      <c r="P287" s="12"/>
    </row>
    <row r="288" spans="1:16" x14ac:dyDescent="0.3">
      <c r="A288" s="11">
        <v>282</v>
      </c>
      <c r="B288" s="12" t="s">
        <v>429</v>
      </c>
      <c r="C288" s="12" t="s">
        <v>691</v>
      </c>
      <c r="D288" s="12" t="s">
        <v>153</v>
      </c>
      <c r="E288" s="12">
        <v>1</v>
      </c>
      <c r="F288" s="12" t="s">
        <v>101</v>
      </c>
      <c r="G288" s="12" t="s">
        <v>758</v>
      </c>
      <c r="H288" s="12" t="s">
        <v>774</v>
      </c>
      <c r="I288" s="14">
        <v>127</v>
      </c>
      <c r="J288" s="13">
        <f>IF(B288="","",SUMIF(Bieu04A_12thang!$B:$B,B288,Bieu04A_12thang!$O:$O))</f>
        <v>38169</v>
      </c>
      <c r="K288" s="23"/>
      <c r="L288" s="13">
        <f>IF(B288="","",SUMIF(Bieu04A_12thang!$B:$B,B288,Bieu04A_12thang!$AB:$AB))</f>
        <v>79086168</v>
      </c>
      <c r="M288" s="12"/>
      <c r="N288" s="12"/>
      <c r="O288" s="12"/>
      <c r="P288" s="12"/>
    </row>
    <row r="289" spans="1:16" x14ac:dyDescent="0.3">
      <c r="A289" s="11">
        <v>283</v>
      </c>
      <c r="B289" s="12" t="s">
        <v>430</v>
      </c>
      <c r="C289" s="12" t="s">
        <v>692</v>
      </c>
      <c r="D289" s="12" t="s">
        <v>153</v>
      </c>
      <c r="E289" s="12">
        <v>1</v>
      </c>
      <c r="F289" s="12" t="s">
        <v>101</v>
      </c>
      <c r="G289" s="12" t="s">
        <v>758</v>
      </c>
      <c r="H289" s="12" t="s">
        <v>774</v>
      </c>
      <c r="I289" s="14">
        <v>127</v>
      </c>
      <c r="J289" s="13">
        <f>IF(B289="","",SUMIF(Bieu04A_12thang!$B:$B,B289,Bieu04A_12thang!$O:$O))</f>
        <v>20909</v>
      </c>
      <c r="K289" s="23"/>
      <c r="L289" s="13">
        <f>IF(B289="","",SUMIF(Bieu04A_12thang!$B:$B,B289,Bieu04A_12thang!$AB:$AB))</f>
        <v>43323448</v>
      </c>
      <c r="M289" s="12"/>
      <c r="N289" s="12"/>
      <c r="O289" s="12"/>
      <c r="P289" s="12"/>
    </row>
    <row r="290" spans="1:16" x14ac:dyDescent="0.3">
      <c r="A290" s="11">
        <v>284</v>
      </c>
      <c r="B290" s="12" t="s">
        <v>436</v>
      </c>
      <c r="C290" s="12" t="s">
        <v>696</v>
      </c>
      <c r="D290" s="12" t="s">
        <v>153</v>
      </c>
      <c r="E290" s="12">
        <v>1</v>
      </c>
      <c r="F290" s="12" t="s">
        <v>101</v>
      </c>
      <c r="G290" s="12" t="s">
        <v>758</v>
      </c>
      <c r="H290" s="12" t="s">
        <v>774</v>
      </c>
      <c r="I290" s="14">
        <v>127</v>
      </c>
      <c r="J290" s="13">
        <f>IF(B290="","",SUMIF(Bieu04A_12thang!$B:$B,B290,Bieu04A_12thang!$O:$O))</f>
        <v>25265</v>
      </c>
      <c r="K290" s="23"/>
      <c r="L290" s="13">
        <f>IF(B290="","",SUMIF(Bieu04A_12thang!$B:$B,B290,Bieu04A_12thang!$AB:$AB))</f>
        <v>52349080</v>
      </c>
      <c r="M290" s="12"/>
      <c r="N290" s="12"/>
      <c r="O290" s="12"/>
      <c r="P290" s="12"/>
    </row>
    <row r="291" spans="1:16" x14ac:dyDescent="0.3">
      <c r="A291" s="11">
        <v>285</v>
      </c>
      <c r="B291" s="12" t="s">
        <v>455</v>
      </c>
      <c r="C291" s="12" t="s">
        <v>703</v>
      </c>
      <c r="D291" s="12" t="s">
        <v>153</v>
      </c>
      <c r="E291" s="12">
        <v>1</v>
      </c>
      <c r="F291" s="12" t="s">
        <v>101</v>
      </c>
      <c r="G291" s="12" t="s">
        <v>758</v>
      </c>
      <c r="H291" s="12" t="s">
        <v>774</v>
      </c>
      <c r="I291" s="14">
        <v>127</v>
      </c>
      <c r="J291" s="13">
        <f>IF(B291="","",SUMIF(Bieu04A_12thang!$B:$B,B291,Bieu04A_12thang!$O:$O))</f>
        <v>36377</v>
      </c>
      <c r="K291" s="23"/>
      <c r="L291" s="13">
        <f>IF(B291="","",SUMIF(Bieu04A_12thang!$B:$B,B291,Bieu04A_12thang!$AB:$AB))</f>
        <v>75373144</v>
      </c>
      <c r="M291" s="12"/>
      <c r="N291" s="12"/>
      <c r="O291" s="12"/>
      <c r="P291" s="12"/>
    </row>
    <row r="292" spans="1:16" x14ac:dyDescent="0.3">
      <c r="A292" s="11">
        <v>286</v>
      </c>
      <c r="B292" s="12" t="s">
        <v>460</v>
      </c>
      <c r="C292" s="12" t="s">
        <v>707</v>
      </c>
      <c r="D292" s="12" t="s">
        <v>153</v>
      </c>
      <c r="E292" s="12">
        <v>1</v>
      </c>
      <c r="F292" s="12" t="s">
        <v>101</v>
      </c>
      <c r="G292" s="12" t="s">
        <v>758</v>
      </c>
      <c r="H292" s="12" t="s">
        <v>774</v>
      </c>
      <c r="I292" s="14">
        <v>127</v>
      </c>
      <c r="J292" s="13">
        <f>IF(B292="","",SUMIF(Bieu04A_12thang!$B:$B,B292,Bieu04A_12thang!$O:$O))</f>
        <v>23704</v>
      </c>
      <c r="K292" s="23"/>
      <c r="L292" s="13">
        <f>IF(B292="","",SUMIF(Bieu04A_12thang!$B:$B,B292,Bieu04A_12thang!$AB:$AB))</f>
        <v>49114688</v>
      </c>
      <c r="M292" s="12"/>
      <c r="N292" s="12"/>
      <c r="O292" s="12"/>
      <c r="P292" s="12"/>
    </row>
    <row r="293" spans="1:16" x14ac:dyDescent="0.3">
      <c r="A293" s="11">
        <v>287</v>
      </c>
      <c r="B293" s="12" t="s">
        <v>461</v>
      </c>
      <c r="C293" s="12" t="s">
        <v>708</v>
      </c>
      <c r="D293" s="12" t="s">
        <v>153</v>
      </c>
      <c r="E293" s="12">
        <v>1</v>
      </c>
      <c r="F293" s="12" t="s">
        <v>101</v>
      </c>
      <c r="G293" s="12" t="s">
        <v>757</v>
      </c>
      <c r="H293" s="12" t="s">
        <v>774</v>
      </c>
      <c r="I293" s="14">
        <v>10</v>
      </c>
      <c r="J293" s="13">
        <f>IF(B293="","",SUMIF(Bieu04A_12thang!$B:$B,B293,Bieu04A_12thang!$O:$O))</f>
        <v>2522</v>
      </c>
      <c r="K293" s="23"/>
      <c r="L293" s="13">
        <f>IF(B293="","",SUMIF(Bieu04A_12thang!$B:$B,B293,Bieu04A_12thang!$AB:$AB))</f>
        <v>5225584</v>
      </c>
      <c r="M293" s="12"/>
      <c r="N293" s="12"/>
      <c r="O293" s="12"/>
      <c r="P293" s="12"/>
    </row>
    <row r="294" spans="1:16" x14ac:dyDescent="0.3">
      <c r="A294" s="11">
        <v>288</v>
      </c>
      <c r="B294" s="12" t="s">
        <v>475</v>
      </c>
      <c r="C294" s="12" t="s">
        <v>718</v>
      </c>
      <c r="D294" s="12" t="s">
        <v>153</v>
      </c>
      <c r="E294" s="12">
        <v>1</v>
      </c>
      <c r="F294" s="12" t="s">
        <v>101</v>
      </c>
      <c r="G294" s="12" t="s">
        <v>758</v>
      </c>
      <c r="H294" s="12" t="s">
        <v>774</v>
      </c>
      <c r="I294" s="14">
        <v>127</v>
      </c>
      <c r="J294" s="13">
        <f>IF(B294="","",SUMIF(Bieu04A_12thang!$B:$B,B294,Bieu04A_12thang!$O:$O))</f>
        <v>47396</v>
      </c>
      <c r="K294" s="23"/>
      <c r="L294" s="13">
        <f>IF(B294="","",SUMIF(Bieu04A_12thang!$B:$B,B294,Bieu04A_12thang!$AB:$AB))</f>
        <v>98204512</v>
      </c>
      <c r="M294" s="12"/>
      <c r="N294" s="12"/>
      <c r="O294" s="12"/>
      <c r="P294" s="12"/>
    </row>
    <row r="295" spans="1:16" x14ac:dyDescent="0.3">
      <c r="A295" s="11">
        <v>289</v>
      </c>
      <c r="B295" s="12" t="s">
        <v>476</v>
      </c>
      <c r="C295" s="12" t="s">
        <v>719</v>
      </c>
      <c r="D295" s="12" t="s">
        <v>153</v>
      </c>
      <c r="E295" s="12">
        <v>1</v>
      </c>
      <c r="F295" s="12" t="s">
        <v>101</v>
      </c>
      <c r="G295" s="12" t="s">
        <v>758</v>
      </c>
      <c r="H295" s="12" t="s">
        <v>774</v>
      </c>
      <c r="I295" s="14">
        <v>127</v>
      </c>
      <c r="J295" s="13">
        <f>IF(B295="","",SUMIF(Bieu04A_12thang!$B:$B,B295,Bieu04A_12thang!$O:$O))</f>
        <v>48393</v>
      </c>
      <c r="K295" s="23"/>
      <c r="L295" s="13">
        <f>IF(B295="","",SUMIF(Bieu04A_12thang!$B:$B,B295,Bieu04A_12thang!$AB:$AB))</f>
        <v>100270296</v>
      </c>
      <c r="M295" s="12"/>
      <c r="N295" s="12"/>
      <c r="O295" s="12"/>
      <c r="P295" s="12"/>
    </row>
    <row r="296" spans="1:16" x14ac:dyDescent="0.3">
      <c r="A296" s="11">
        <v>290</v>
      </c>
      <c r="B296" s="12" t="s">
        <v>503</v>
      </c>
      <c r="C296" s="12" t="s">
        <v>733</v>
      </c>
      <c r="D296" s="12" t="s">
        <v>153</v>
      </c>
      <c r="E296" s="12">
        <v>2</v>
      </c>
      <c r="F296" s="12" t="s">
        <v>101</v>
      </c>
      <c r="G296" s="12" t="s">
        <v>757</v>
      </c>
      <c r="H296" s="12" t="s">
        <v>774</v>
      </c>
      <c r="I296" s="14">
        <v>10</v>
      </c>
      <c r="J296" s="13">
        <f>IF(B296="","",SUMIF(Bieu04A_12thang!$B:$B,B296,Bieu04A_12thang!$O:$O))</f>
        <v>414</v>
      </c>
      <c r="K296" s="23"/>
      <c r="L296" s="13">
        <f>IF(B296="","",SUMIF(Bieu04A_12thang!$B:$B,B296,Bieu04A_12thang!$AB:$AB))</f>
        <v>921564</v>
      </c>
      <c r="M296" s="12"/>
      <c r="N296" s="12"/>
      <c r="O296" s="12"/>
      <c r="P296" s="12"/>
    </row>
    <row r="297" spans="1:16" x14ac:dyDescent="0.3">
      <c r="A297" s="11">
        <v>291</v>
      </c>
      <c r="B297" s="12" t="s">
        <v>504</v>
      </c>
      <c r="C297" s="12" t="s">
        <v>734</v>
      </c>
      <c r="D297" s="12" t="s">
        <v>153</v>
      </c>
      <c r="E297" s="12">
        <v>2</v>
      </c>
      <c r="F297" s="12" t="s">
        <v>101</v>
      </c>
      <c r="G297" s="12" t="s">
        <v>757</v>
      </c>
      <c r="H297" s="12" t="s">
        <v>774</v>
      </c>
      <c r="I297" s="14">
        <v>10</v>
      </c>
      <c r="J297" s="13">
        <f>IF(B297="","",SUMIF(Bieu04A_12thang!$B:$B,B297,Bieu04A_12thang!$O:$O))</f>
        <v>3983</v>
      </c>
      <c r="K297" s="23"/>
      <c r="L297" s="13">
        <f>IF(B297="","",SUMIF(Bieu04A_12thang!$B:$B,B297,Bieu04A_12thang!$AB:$AB))</f>
        <v>8866158</v>
      </c>
      <c r="M297" s="12"/>
      <c r="N297" s="12"/>
      <c r="O297" s="12"/>
      <c r="P297" s="12"/>
    </row>
    <row r="298" spans="1:16" x14ac:dyDescent="0.3">
      <c r="A298" s="11">
        <v>292</v>
      </c>
      <c r="B298" s="12" t="s">
        <v>505</v>
      </c>
      <c r="C298" s="12" t="s">
        <v>735</v>
      </c>
      <c r="D298" s="12" t="s">
        <v>153</v>
      </c>
      <c r="E298" s="12">
        <v>2</v>
      </c>
      <c r="F298" s="12" t="s">
        <v>101</v>
      </c>
      <c r="G298" s="12" t="s">
        <v>757</v>
      </c>
      <c r="H298" s="12" t="s">
        <v>774</v>
      </c>
      <c r="I298" s="14">
        <v>18</v>
      </c>
      <c r="J298" s="13">
        <f>IF(B298="","",SUMIF(Bieu04A_12thang!$B:$B,B298,Bieu04A_12thang!$O:$O))</f>
        <v>39078</v>
      </c>
      <c r="K298" s="23"/>
      <c r="L298" s="13">
        <f>IF(B298="","",SUMIF(Bieu04A_12thang!$B:$B,B298,Bieu04A_12thang!$AB:$AB))</f>
        <v>86987628</v>
      </c>
      <c r="M298" s="12"/>
      <c r="N298" s="12"/>
      <c r="O298" s="12"/>
      <c r="P298" s="12"/>
    </row>
    <row r="299" spans="1:16" x14ac:dyDescent="0.3">
      <c r="A299" s="11">
        <v>293</v>
      </c>
      <c r="B299" s="12" t="s">
        <v>506</v>
      </c>
      <c r="C299" s="12" t="s">
        <v>734</v>
      </c>
      <c r="D299" s="12" t="s">
        <v>153</v>
      </c>
      <c r="E299" s="12">
        <v>2</v>
      </c>
      <c r="F299" s="12" t="s">
        <v>101</v>
      </c>
      <c r="G299" s="12" t="s">
        <v>757</v>
      </c>
      <c r="H299" s="12" t="s">
        <v>774</v>
      </c>
      <c r="I299" s="14">
        <v>10</v>
      </c>
      <c r="J299" s="13">
        <f>IF(B299="","",SUMIF(Bieu04A_12thang!$B:$B,B299,Bieu04A_12thang!$O:$O))</f>
        <v>242</v>
      </c>
      <c r="K299" s="23"/>
      <c r="L299" s="13">
        <f>IF(B299="","",SUMIF(Bieu04A_12thang!$B:$B,B299,Bieu04A_12thang!$AB:$AB))</f>
        <v>538692</v>
      </c>
      <c r="M299" s="12"/>
      <c r="N299" s="12"/>
      <c r="O299" s="12"/>
      <c r="P299" s="12"/>
    </row>
    <row r="300" spans="1:16" x14ac:dyDescent="0.3">
      <c r="A300" s="11">
        <v>294</v>
      </c>
      <c r="B300" s="12" t="s">
        <v>507</v>
      </c>
      <c r="C300" s="12" t="s">
        <v>735</v>
      </c>
      <c r="D300" s="12" t="s">
        <v>153</v>
      </c>
      <c r="E300" s="12">
        <v>2</v>
      </c>
      <c r="F300" s="12" t="s">
        <v>101</v>
      </c>
      <c r="G300" s="12" t="s">
        <v>757</v>
      </c>
      <c r="H300" s="12" t="s">
        <v>774</v>
      </c>
      <c r="I300" s="14">
        <v>10</v>
      </c>
      <c r="J300" s="13">
        <f>IF(B300="","",SUMIF(Bieu04A_12thang!$B:$B,B300,Bieu04A_12thang!$O:$O))</f>
        <v>132</v>
      </c>
      <c r="K300" s="23"/>
      <c r="L300" s="13">
        <f>IF(B300="","",SUMIF(Bieu04A_12thang!$B:$B,B300,Bieu04A_12thang!$AB:$AB))</f>
        <v>293832</v>
      </c>
      <c r="M300" s="12"/>
      <c r="N300" s="12"/>
      <c r="O300" s="12"/>
      <c r="P300" s="12"/>
    </row>
    <row r="301" spans="1:16" x14ac:dyDescent="0.3">
      <c r="A301" s="11">
        <v>295</v>
      </c>
      <c r="B301" s="12" t="s">
        <v>508</v>
      </c>
      <c r="C301" s="12" t="s">
        <v>735</v>
      </c>
      <c r="D301" s="12" t="s">
        <v>153</v>
      </c>
      <c r="E301" s="12">
        <v>2</v>
      </c>
      <c r="F301" s="12" t="s">
        <v>101</v>
      </c>
      <c r="G301" s="12" t="s">
        <v>757</v>
      </c>
      <c r="H301" s="12" t="s">
        <v>774</v>
      </c>
      <c r="I301" s="14">
        <v>10</v>
      </c>
      <c r="J301" s="13">
        <f>IF(B301="","",SUMIF(Bieu04A_12thang!$B:$B,B301,Bieu04A_12thang!$O:$O))</f>
        <v>1091</v>
      </c>
      <c r="K301" s="23"/>
      <c r="L301" s="13">
        <f>IF(B301="","",SUMIF(Bieu04A_12thang!$B:$B,B301,Bieu04A_12thang!$AB:$AB))</f>
        <v>2428566</v>
      </c>
      <c r="M301" s="12"/>
      <c r="N301" s="12"/>
      <c r="O301" s="12"/>
      <c r="P301" s="12"/>
    </row>
    <row r="302" spans="1:16" x14ac:dyDescent="0.3">
      <c r="A302" s="11">
        <v>296</v>
      </c>
      <c r="B302" s="12" t="s">
        <v>509</v>
      </c>
      <c r="C302" s="12" t="s">
        <v>735</v>
      </c>
      <c r="D302" s="12" t="s">
        <v>153</v>
      </c>
      <c r="E302" s="12">
        <v>2</v>
      </c>
      <c r="F302" s="12" t="s">
        <v>101</v>
      </c>
      <c r="G302" s="12" t="s">
        <v>757</v>
      </c>
      <c r="H302" s="12" t="s">
        <v>774</v>
      </c>
      <c r="I302" s="14">
        <v>10</v>
      </c>
      <c r="J302" s="13">
        <f>IF(B302="","",SUMIF(Bieu04A_12thang!$B:$B,B302,Bieu04A_12thang!$O:$O))</f>
        <v>442</v>
      </c>
      <c r="K302" s="23"/>
      <c r="L302" s="13">
        <f>IF(B302="","",SUMIF(Bieu04A_12thang!$B:$B,B302,Bieu04A_12thang!$AB:$AB))</f>
        <v>983892</v>
      </c>
      <c r="M302" s="12"/>
      <c r="N302" s="12"/>
      <c r="O302" s="12"/>
      <c r="P302" s="12"/>
    </row>
    <row r="303" spans="1:16" x14ac:dyDescent="0.3">
      <c r="A303" s="11">
        <v>297</v>
      </c>
      <c r="B303" s="12" t="s">
        <v>510</v>
      </c>
      <c r="C303" s="12" t="s">
        <v>735</v>
      </c>
      <c r="D303" s="12" t="s">
        <v>153</v>
      </c>
      <c r="E303" s="12">
        <v>2</v>
      </c>
      <c r="F303" s="12" t="s">
        <v>101</v>
      </c>
      <c r="G303" s="12" t="s">
        <v>757</v>
      </c>
      <c r="H303" s="12" t="s">
        <v>774</v>
      </c>
      <c r="I303" s="14">
        <v>10</v>
      </c>
      <c r="J303" s="13">
        <f>IF(B303="","",SUMIF(Bieu04A_12thang!$B:$B,B303,Bieu04A_12thang!$O:$O))</f>
        <v>1242</v>
      </c>
      <c r="K303" s="23"/>
      <c r="L303" s="13">
        <f>IF(B303="","",SUMIF(Bieu04A_12thang!$B:$B,B303,Bieu04A_12thang!$AB:$AB))</f>
        <v>2764692</v>
      </c>
      <c r="M303" s="12"/>
      <c r="N303" s="12"/>
      <c r="O303" s="12"/>
      <c r="P303" s="12"/>
    </row>
    <row r="304" spans="1:16" x14ac:dyDescent="0.3">
      <c r="A304" s="11">
        <v>298</v>
      </c>
      <c r="B304" s="12" t="s">
        <v>511</v>
      </c>
      <c r="C304" s="12" t="s">
        <v>735</v>
      </c>
      <c r="D304" s="12" t="s">
        <v>153</v>
      </c>
      <c r="E304" s="12">
        <v>2</v>
      </c>
      <c r="F304" s="12" t="s">
        <v>101</v>
      </c>
      <c r="G304" s="12" t="s">
        <v>757</v>
      </c>
      <c r="H304" s="12" t="s">
        <v>774</v>
      </c>
      <c r="I304" s="14">
        <v>10</v>
      </c>
      <c r="J304" s="13">
        <f>IF(B304="","",SUMIF(Bieu04A_12thang!$B:$B,B304,Bieu04A_12thang!$O:$O))</f>
        <v>427</v>
      </c>
      <c r="K304" s="23"/>
      <c r="L304" s="13">
        <f>IF(B304="","",SUMIF(Bieu04A_12thang!$B:$B,B304,Bieu04A_12thang!$AB:$AB))</f>
        <v>950502</v>
      </c>
      <c r="M304" s="12"/>
      <c r="N304" s="12"/>
      <c r="O304" s="12"/>
      <c r="P304" s="12"/>
    </row>
    <row r="305" spans="1:16" x14ac:dyDescent="0.3">
      <c r="A305" s="11">
        <v>299</v>
      </c>
      <c r="B305" s="12" t="s">
        <v>512</v>
      </c>
      <c r="C305" s="12" t="s">
        <v>735</v>
      </c>
      <c r="D305" s="12" t="s">
        <v>153</v>
      </c>
      <c r="E305" s="12">
        <v>2</v>
      </c>
      <c r="F305" s="12" t="s">
        <v>101</v>
      </c>
      <c r="G305" s="12" t="s">
        <v>757</v>
      </c>
      <c r="H305" s="12" t="s">
        <v>774</v>
      </c>
      <c r="I305" s="14">
        <v>10</v>
      </c>
      <c r="J305" s="13">
        <f>IF(B305="","",SUMIF(Bieu04A_12thang!$B:$B,B305,Bieu04A_12thang!$O:$O))</f>
        <v>230</v>
      </c>
      <c r="K305" s="23"/>
      <c r="L305" s="13">
        <f>IF(B305="","",SUMIF(Bieu04A_12thang!$B:$B,B305,Bieu04A_12thang!$AB:$AB))</f>
        <v>511980</v>
      </c>
      <c r="M305" s="12"/>
      <c r="N305" s="12"/>
      <c r="O305" s="12"/>
      <c r="P305" s="12"/>
    </row>
    <row r="306" spans="1:16" x14ac:dyDescent="0.3">
      <c r="A306" s="11">
        <v>300</v>
      </c>
      <c r="B306" s="12" t="s">
        <v>513</v>
      </c>
      <c r="C306" s="12" t="s">
        <v>734</v>
      </c>
      <c r="D306" s="12" t="s">
        <v>153</v>
      </c>
      <c r="E306" s="12">
        <v>2</v>
      </c>
      <c r="F306" s="12" t="s">
        <v>101</v>
      </c>
      <c r="G306" s="12" t="s">
        <v>757</v>
      </c>
      <c r="H306" s="12" t="s">
        <v>774</v>
      </c>
      <c r="I306" s="14">
        <v>10</v>
      </c>
      <c r="J306" s="13">
        <f>IF(B306="","",SUMIF(Bieu04A_12thang!$B:$B,B306,Bieu04A_12thang!$O:$O))</f>
        <v>763</v>
      </c>
      <c r="K306" s="23"/>
      <c r="L306" s="13">
        <f>IF(B306="","",SUMIF(Bieu04A_12thang!$B:$B,B306,Bieu04A_12thang!$AB:$AB))</f>
        <v>1698438</v>
      </c>
      <c r="M306" s="12"/>
      <c r="N306" s="12"/>
      <c r="O306" s="12"/>
      <c r="P306" s="12"/>
    </row>
    <row r="307" spans="1:16" x14ac:dyDescent="0.3">
      <c r="A307" s="11">
        <v>301</v>
      </c>
      <c r="B307" s="12" t="s">
        <v>514</v>
      </c>
      <c r="C307" s="12" t="s">
        <v>735</v>
      </c>
      <c r="D307" s="12" t="s">
        <v>153</v>
      </c>
      <c r="E307" s="12">
        <v>2</v>
      </c>
      <c r="F307" s="12" t="s">
        <v>101</v>
      </c>
      <c r="G307" s="12" t="s">
        <v>757</v>
      </c>
      <c r="H307" s="12" t="s">
        <v>774</v>
      </c>
      <c r="I307" s="14">
        <v>10</v>
      </c>
      <c r="J307" s="13">
        <f>IF(B307="","",SUMIF(Bieu04A_12thang!$B:$B,B307,Bieu04A_12thang!$O:$O))</f>
        <v>148</v>
      </c>
      <c r="K307" s="23"/>
      <c r="L307" s="13">
        <f>IF(B307="","",SUMIF(Bieu04A_12thang!$B:$B,B307,Bieu04A_12thang!$AB:$AB))</f>
        <v>329448</v>
      </c>
      <c r="M307" s="12"/>
      <c r="N307" s="12"/>
      <c r="O307" s="12"/>
      <c r="P307" s="12"/>
    </row>
    <row r="308" spans="1:16" x14ac:dyDescent="0.3">
      <c r="A308" s="11">
        <v>302</v>
      </c>
      <c r="B308" s="12" t="s">
        <v>515</v>
      </c>
      <c r="C308" s="12" t="s">
        <v>735</v>
      </c>
      <c r="D308" s="12" t="s">
        <v>153</v>
      </c>
      <c r="E308" s="12">
        <v>2</v>
      </c>
      <c r="F308" s="12" t="s">
        <v>101</v>
      </c>
      <c r="G308" s="12" t="s">
        <v>757</v>
      </c>
      <c r="H308" s="12" t="s">
        <v>774</v>
      </c>
      <c r="I308" s="14">
        <v>10</v>
      </c>
      <c r="J308" s="13">
        <f>IF(B308="","",SUMIF(Bieu04A_12thang!$B:$B,B308,Bieu04A_12thang!$O:$O))</f>
        <v>1763</v>
      </c>
      <c r="K308" s="23"/>
      <c r="L308" s="13">
        <f>IF(B308="","",SUMIF(Bieu04A_12thang!$B:$B,B308,Bieu04A_12thang!$AB:$AB))</f>
        <v>3924438</v>
      </c>
      <c r="M308" s="12"/>
      <c r="N308" s="12"/>
      <c r="O308" s="12"/>
      <c r="P308" s="12"/>
    </row>
    <row r="309" spans="1:16" x14ac:dyDescent="0.3">
      <c r="A309" s="11">
        <v>303</v>
      </c>
      <c r="B309" s="12" t="s">
        <v>516</v>
      </c>
      <c r="C309" s="12" t="s">
        <v>735</v>
      </c>
      <c r="D309" s="12" t="s">
        <v>153</v>
      </c>
      <c r="E309" s="12">
        <v>2</v>
      </c>
      <c r="F309" s="12" t="s">
        <v>101</v>
      </c>
      <c r="G309" s="12" t="s">
        <v>757</v>
      </c>
      <c r="H309" s="12" t="s">
        <v>774</v>
      </c>
      <c r="I309" s="14">
        <v>10</v>
      </c>
      <c r="J309" s="13">
        <f>IF(B309="","",SUMIF(Bieu04A_12thang!$B:$B,B309,Bieu04A_12thang!$O:$O))</f>
        <v>431</v>
      </c>
      <c r="K309" s="23"/>
      <c r="L309" s="13">
        <f>IF(B309="","",SUMIF(Bieu04A_12thang!$B:$B,B309,Bieu04A_12thang!$AB:$AB))</f>
        <v>959406</v>
      </c>
      <c r="M309" s="12"/>
      <c r="N309" s="12"/>
      <c r="O309" s="12"/>
      <c r="P309" s="12"/>
    </row>
    <row r="310" spans="1:16" x14ac:dyDescent="0.3">
      <c r="A310" s="11">
        <v>304</v>
      </c>
      <c r="B310" s="12" t="s">
        <v>517</v>
      </c>
      <c r="C310" s="12" t="s">
        <v>735</v>
      </c>
      <c r="D310" s="12" t="s">
        <v>153</v>
      </c>
      <c r="E310" s="12">
        <v>2</v>
      </c>
      <c r="F310" s="12" t="s">
        <v>101</v>
      </c>
      <c r="G310" s="12" t="s">
        <v>757</v>
      </c>
      <c r="H310" s="12" t="s">
        <v>774</v>
      </c>
      <c r="I310" s="14">
        <v>10</v>
      </c>
      <c r="J310" s="13">
        <f>IF(B310="","",SUMIF(Bieu04A_12thang!$B:$B,B310,Bieu04A_12thang!$O:$O))</f>
        <v>165</v>
      </c>
      <c r="K310" s="23"/>
      <c r="L310" s="13">
        <f>IF(B310="","",SUMIF(Bieu04A_12thang!$B:$B,B310,Bieu04A_12thang!$AB:$AB))</f>
        <v>367290</v>
      </c>
      <c r="M310" s="12"/>
      <c r="N310" s="12"/>
      <c r="O310" s="12"/>
      <c r="P310" s="12"/>
    </row>
    <row r="311" spans="1:16" x14ac:dyDescent="0.3">
      <c r="A311" s="11">
        <v>305</v>
      </c>
      <c r="B311" s="12" t="s">
        <v>518</v>
      </c>
      <c r="C311" s="12" t="s">
        <v>735</v>
      </c>
      <c r="D311" s="12" t="s">
        <v>153</v>
      </c>
      <c r="E311" s="12">
        <v>2</v>
      </c>
      <c r="F311" s="12" t="s">
        <v>101</v>
      </c>
      <c r="G311" s="12" t="s">
        <v>757</v>
      </c>
      <c r="H311" s="12" t="s">
        <v>774</v>
      </c>
      <c r="I311" s="14">
        <v>10</v>
      </c>
      <c r="J311" s="13">
        <f>IF(B311="","",SUMIF(Bieu04A_12thang!$B:$B,B311,Bieu04A_12thang!$O:$O))</f>
        <v>1988</v>
      </c>
      <c r="K311" s="23"/>
      <c r="L311" s="13">
        <f>IF(B311="","",SUMIF(Bieu04A_12thang!$B:$B,B311,Bieu04A_12thang!$AB:$AB))</f>
        <v>4425288</v>
      </c>
      <c r="M311" s="12"/>
      <c r="N311" s="12"/>
      <c r="O311" s="12"/>
      <c r="P311" s="12"/>
    </row>
    <row r="312" spans="1:16" x14ac:dyDescent="0.3">
      <c r="A312" s="11">
        <v>306</v>
      </c>
      <c r="B312" s="12" t="s">
        <v>519</v>
      </c>
      <c r="C312" s="12" t="s">
        <v>735</v>
      </c>
      <c r="D312" s="12" t="s">
        <v>153</v>
      </c>
      <c r="E312" s="12">
        <v>2</v>
      </c>
      <c r="F312" s="12" t="s">
        <v>101</v>
      </c>
      <c r="G312" s="12" t="s">
        <v>757</v>
      </c>
      <c r="H312" s="12" t="s">
        <v>774</v>
      </c>
      <c r="I312" s="14">
        <v>10</v>
      </c>
      <c r="J312" s="13">
        <f>IF(B312="","",SUMIF(Bieu04A_12thang!$B:$B,B312,Bieu04A_12thang!$O:$O))</f>
        <v>202</v>
      </c>
      <c r="K312" s="23"/>
      <c r="L312" s="13">
        <f>IF(B312="","",SUMIF(Bieu04A_12thang!$B:$B,B312,Bieu04A_12thang!$AB:$AB))</f>
        <v>449652</v>
      </c>
      <c r="M312" s="12"/>
      <c r="N312" s="12"/>
      <c r="O312" s="12"/>
      <c r="P312" s="12"/>
    </row>
    <row r="313" spans="1:16" x14ac:dyDescent="0.3">
      <c r="A313" s="11">
        <v>307</v>
      </c>
      <c r="B313" s="12" t="s">
        <v>520</v>
      </c>
      <c r="C313" s="12" t="s">
        <v>735</v>
      </c>
      <c r="D313" s="12" t="s">
        <v>153</v>
      </c>
      <c r="E313" s="12">
        <v>2</v>
      </c>
      <c r="F313" s="12" t="s">
        <v>101</v>
      </c>
      <c r="G313" s="12" t="s">
        <v>757</v>
      </c>
      <c r="H313" s="12" t="s">
        <v>774</v>
      </c>
      <c r="I313" s="14">
        <v>10</v>
      </c>
      <c r="J313" s="13">
        <f>IF(B313="","",SUMIF(Bieu04A_12thang!$B:$B,B313,Bieu04A_12thang!$O:$O))</f>
        <v>567</v>
      </c>
      <c r="K313" s="23"/>
      <c r="L313" s="13">
        <f>IF(B313="","",SUMIF(Bieu04A_12thang!$B:$B,B313,Bieu04A_12thang!$AB:$AB))</f>
        <v>1262142</v>
      </c>
      <c r="M313" s="12"/>
      <c r="N313" s="12"/>
      <c r="O313" s="12"/>
      <c r="P313" s="12"/>
    </row>
    <row r="314" spans="1:16" x14ac:dyDescent="0.3">
      <c r="A314" s="11">
        <v>308</v>
      </c>
      <c r="B314" s="12" t="s">
        <v>521</v>
      </c>
      <c r="C314" s="12" t="s">
        <v>735</v>
      </c>
      <c r="D314" s="12" t="s">
        <v>153</v>
      </c>
      <c r="E314" s="12">
        <v>2</v>
      </c>
      <c r="F314" s="12" t="s">
        <v>101</v>
      </c>
      <c r="G314" s="12" t="s">
        <v>757</v>
      </c>
      <c r="H314" s="12" t="s">
        <v>774</v>
      </c>
      <c r="I314" s="14">
        <v>10</v>
      </c>
      <c r="J314" s="13">
        <f>IF(B314="","",SUMIF(Bieu04A_12thang!$B:$B,B314,Bieu04A_12thang!$O:$O))</f>
        <v>351</v>
      </c>
      <c r="K314" s="23"/>
      <c r="L314" s="13">
        <f>IF(B314="","",SUMIF(Bieu04A_12thang!$B:$B,B314,Bieu04A_12thang!$AB:$AB))</f>
        <v>781326</v>
      </c>
      <c r="M314" s="12"/>
      <c r="N314" s="12"/>
      <c r="O314" s="12"/>
      <c r="P314" s="12"/>
    </row>
    <row r="315" spans="1:16" x14ac:dyDescent="0.3">
      <c r="A315" s="11">
        <v>309</v>
      </c>
      <c r="B315" s="12" t="s">
        <v>522</v>
      </c>
      <c r="C315" s="12" t="s">
        <v>735</v>
      </c>
      <c r="D315" s="12" t="s">
        <v>153</v>
      </c>
      <c r="E315" s="12">
        <v>2</v>
      </c>
      <c r="F315" s="12" t="s">
        <v>101</v>
      </c>
      <c r="G315" s="12" t="s">
        <v>758</v>
      </c>
      <c r="H315" s="12" t="s">
        <v>774</v>
      </c>
      <c r="I315" s="14">
        <v>127</v>
      </c>
      <c r="J315" s="13">
        <f>IF(B315="","",SUMIF(Bieu04A_12thang!$B:$B,B315,Bieu04A_12thang!$O:$O))</f>
        <v>26068</v>
      </c>
      <c r="K315" s="23"/>
      <c r="L315" s="13">
        <f>IF(B315="","",SUMIF(Bieu04A_12thang!$B:$B,B315,Bieu04A_12thang!$AB:$AB))</f>
        <v>58027368</v>
      </c>
      <c r="M315" s="12"/>
      <c r="N315" s="12"/>
      <c r="O315" s="12"/>
      <c r="P315" s="12"/>
    </row>
    <row r="316" spans="1:16" x14ac:dyDescent="0.3">
      <c r="A316" s="11">
        <v>310</v>
      </c>
      <c r="B316" s="12" t="s">
        <v>523</v>
      </c>
      <c r="C316" s="12" t="s">
        <v>735</v>
      </c>
      <c r="D316" s="12" t="s">
        <v>153</v>
      </c>
      <c r="E316" s="12">
        <v>2</v>
      </c>
      <c r="F316" s="12" t="s">
        <v>101</v>
      </c>
      <c r="G316" s="12" t="s">
        <v>757</v>
      </c>
      <c r="H316" s="12" t="s">
        <v>774</v>
      </c>
      <c r="I316" s="14">
        <v>10</v>
      </c>
      <c r="J316" s="13">
        <f>IF(B316="","",SUMIF(Bieu04A_12thang!$B:$B,B316,Bieu04A_12thang!$O:$O))</f>
        <v>0</v>
      </c>
      <c r="K316" s="23"/>
      <c r="L316" s="13">
        <f>IF(B316="","",SUMIF(Bieu04A_12thang!$B:$B,B316,Bieu04A_12thang!$AB:$AB))</f>
        <v>0</v>
      </c>
      <c r="M316" s="12"/>
      <c r="N316" s="12"/>
      <c r="O316" s="12"/>
      <c r="P316" s="12"/>
    </row>
    <row r="317" spans="1:16" x14ac:dyDescent="0.3">
      <c r="A317" s="11">
        <v>311</v>
      </c>
      <c r="B317" s="12" t="s">
        <v>524</v>
      </c>
      <c r="C317" s="12" t="s">
        <v>735</v>
      </c>
      <c r="D317" s="12" t="s">
        <v>153</v>
      </c>
      <c r="E317" s="12">
        <v>2</v>
      </c>
      <c r="F317" s="12" t="s">
        <v>101</v>
      </c>
      <c r="G317" s="12" t="s">
        <v>758</v>
      </c>
      <c r="H317" s="12" t="s">
        <v>774</v>
      </c>
      <c r="I317" s="14">
        <v>127</v>
      </c>
      <c r="J317" s="13">
        <f>IF(B317="","",SUMIF(Bieu04A_12thang!$B:$B,B317,Bieu04A_12thang!$O:$O))</f>
        <v>105255</v>
      </c>
      <c r="K317" s="23"/>
      <c r="L317" s="13">
        <f>IF(B317="","",SUMIF(Bieu04A_12thang!$B:$B,B317,Bieu04A_12thang!$AB:$AB))</f>
        <v>234297630</v>
      </c>
      <c r="M317" s="12"/>
      <c r="N317" s="12"/>
      <c r="O317" s="12"/>
      <c r="P317" s="12"/>
    </row>
    <row r="318" spans="1:16" x14ac:dyDescent="0.3">
      <c r="A318" s="11">
        <v>312</v>
      </c>
      <c r="B318" s="12" t="s">
        <v>525</v>
      </c>
      <c r="C318" s="12" t="s">
        <v>735</v>
      </c>
      <c r="D318" s="12" t="s">
        <v>153</v>
      </c>
      <c r="E318" s="12">
        <v>2</v>
      </c>
      <c r="F318" s="12" t="s">
        <v>101</v>
      </c>
      <c r="G318" s="12" t="s">
        <v>757</v>
      </c>
      <c r="H318" s="12" t="s">
        <v>774</v>
      </c>
      <c r="I318" s="14">
        <v>10</v>
      </c>
      <c r="J318" s="13">
        <f>IF(B318="","",SUMIF(Bieu04A_12thang!$B:$B,B318,Bieu04A_12thang!$O:$O))</f>
        <v>237</v>
      </c>
      <c r="K318" s="23"/>
      <c r="L318" s="13">
        <f>IF(B318="","",SUMIF(Bieu04A_12thang!$B:$B,B318,Bieu04A_12thang!$AB:$AB))</f>
        <v>527562</v>
      </c>
      <c r="M318" s="12"/>
      <c r="N318" s="12"/>
      <c r="O318" s="12"/>
      <c r="P318" s="12"/>
    </row>
    <row r="319" spans="1:16" x14ac:dyDescent="0.3">
      <c r="A319" s="11">
        <v>313</v>
      </c>
      <c r="B319" s="12" t="s">
        <v>526</v>
      </c>
      <c r="C319" s="12" t="s">
        <v>734</v>
      </c>
      <c r="D319" s="12" t="s">
        <v>153</v>
      </c>
      <c r="E319" s="12">
        <v>2</v>
      </c>
      <c r="F319" s="12" t="s">
        <v>101</v>
      </c>
      <c r="G319" s="12" t="s">
        <v>757</v>
      </c>
      <c r="H319" s="12" t="s">
        <v>774</v>
      </c>
      <c r="I319" s="14">
        <v>10</v>
      </c>
      <c r="J319" s="13">
        <f>IF(B319="","",SUMIF(Bieu04A_12thang!$B:$B,B319,Bieu04A_12thang!$O:$O))</f>
        <v>2534</v>
      </c>
      <c r="K319" s="23"/>
      <c r="L319" s="13">
        <f>IF(B319="","",SUMIF(Bieu04A_12thang!$B:$B,B319,Bieu04A_12thang!$AB:$AB))</f>
        <v>5640684</v>
      </c>
      <c r="M319" s="12"/>
      <c r="N319" s="12"/>
      <c r="O319" s="12"/>
      <c r="P319" s="12"/>
    </row>
    <row r="320" spans="1:16" x14ac:dyDescent="0.3">
      <c r="A320" s="11">
        <v>314</v>
      </c>
      <c r="B320" s="12" t="s">
        <v>527</v>
      </c>
      <c r="C320" s="12" t="s">
        <v>736</v>
      </c>
      <c r="D320" s="12" t="s">
        <v>153</v>
      </c>
      <c r="E320" s="12">
        <v>2</v>
      </c>
      <c r="F320" s="12" t="s">
        <v>101</v>
      </c>
      <c r="G320" s="12" t="s">
        <v>757</v>
      </c>
      <c r="H320" s="12" t="s">
        <v>774</v>
      </c>
      <c r="I320" s="14">
        <v>10</v>
      </c>
      <c r="J320" s="13">
        <f>IF(B320="","",SUMIF(Bieu04A_12thang!$B:$B,B320,Bieu04A_12thang!$O:$O))</f>
        <v>0</v>
      </c>
      <c r="K320" s="23"/>
      <c r="L320" s="13">
        <f>IF(B320="","",SUMIF(Bieu04A_12thang!$B:$B,B320,Bieu04A_12thang!$AB:$AB))</f>
        <v>0</v>
      </c>
      <c r="M320" s="12"/>
      <c r="N320" s="12"/>
      <c r="O320" s="12"/>
      <c r="P320" s="12"/>
    </row>
    <row r="321" spans="1:16" x14ac:dyDescent="0.3">
      <c r="A321" s="11">
        <v>315</v>
      </c>
      <c r="B321" s="12" t="s">
        <v>528</v>
      </c>
      <c r="C321" s="12" t="s">
        <v>737</v>
      </c>
      <c r="D321" s="12" t="s">
        <v>153</v>
      </c>
      <c r="E321" s="12">
        <v>2</v>
      </c>
      <c r="F321" s="12" t="s">
        <v>101</v>
      </c>
      <c r="G321" s="12" t="s">
        <v>757</v>
      </c>
      <c r="H321" s="12" t="s">
        <v>774</v>
      </c>
      <c r="I321" s="14">
        <v>10</v>
      </c>
      <c r="J321" s="13">
        <f>IF(B321="","",SUMIF(Bieu04A_12thang!$B:$B,B321,Bieu04A_12thang!$O:$O))</f>
        <v>468</v>
      </c>
      <c r="K321" s="23"/>
      <c r="L321" s="13">
        <f>IF(B321="","",SUMIF(Bieu04A_12thang!$B:$B,B321,Bieu04A_12thang!$AB:$AB))</f>
        <v>1041768</v>
      </c>
      <c r="M321" s="12"/>
      <c r="N321" s="12"/>
      <c r="O321" s="12"/>
      <c r="P321" s="12"/>
    </row>
    <row r="322" spans="1:16" x14ac:dyDescent="0.3">
      <c r="A322" s="11">
        <v>316</v>
      </c>
      <c r="B322" s="12" t="s">
        <v>543</v>
      </c>
      <c r="C322" s="12" t="s">
        <v>743</v>
      </c>
      <c r="D322" s="12" t="s">
        <v>153</v>
      </c>
      <c r="E322" s="12">
        <v>2</v>
      </c>
      <c r="F322" s="12" t="s">
        <v>101</v>
      </c>
      <c r="G322" s="12" t="s">
        <v>757</v>
      </c>
      <c r="H322" s="12" t="s">
        <v>774</v>
      </c>
      <c r="I322" s="14">
        <v>10</v>
      </c>
      <c r="J322" s="13">
        <f>IF(B322="","",SUMIF(Bieu04A_12thang!$B:$B,B322,Bieu04A_12thang!$O:$O))</f>
        <v>10329</v>
      </c>
      <c r="K322" s="23"/>
      <c r="L322" s="13">
        <f>IF(B322="","",SUMIF(Bieu04A_12thang!$B:$B,B322,Bieu04A_12thang!$AB:$AB))</f>
        <v>22992354</v>
      </c>
      <c r="M322" s="12"/>
      <c r="N322" s="12"/>
      <c r="O322" s="12"/>
      <c r="P322" s="12"/>
    </row>
    <row r="323" spans="1:16" x14ac:dyDescent="0.3">
      <c r="A323" s="11">
        <v>317</v>
      </c>
      <c r="B323" s="12" t="s">
        <v>544</v>
      </c>
      <c r="C323" s="12" t="s">
        <v>744</v>
      </c>
      <c r="D323" s="12" t="s">
        <v>153</v>
      </c>
      <c r="E323" s="12">
        <v>2</v>
      </c>
      <c r="F323" s="12" t="s">
        <v>101</v>
      </c>
      <c r="G323" s="12" t="s">
        <v>758</v>
      </c>
      <c r="H323" s="12" t="s">
        <v>774</v>
      </c>
      <c r="I323" s="14">
        <v>127</v>
      </c>
      <c r="J323" s="13">
        <f>IF(B323="","",SUMIF(Bieu04A_12thang!$B:$B,B323,Bieu04A_12thang!$O:$O))</f>
        <v>31885</v>
      </c>
      <c r="K323" s="23"/>
      <c r="L323" s="13">
        <f>IF(B323="","",SUMIF(Bieu04A_12thang!$B:$B,B323,Bieu04A_12thang!$AB:$AB))</f>
        <v>70976010</v>
      </c>
      <c r="M323" s="12"/>
      <c r="N323" s="12"/>
      <c r="O323" s="12"/>
      <c r="P323" s="12"/>
    </row>
    <row r="324" spans="1:16" x14ac:dyDescent="0.3">
      <c r="A324" s="11">
        <v>318</v>
      </c>
      <c r="B324" s="12" t="s">
        <v>158</v>
      </c>
      <c r="C324" s="12" t="s">
        <v>563</v>
      </c>
      <c r="D324" s="12" t="s">
        <v>152</v>
      </c>
      <c r="E324" s="12">
        <v>2</v>
      </c>
      <c r="F324" s="12" t="s">
        <v>101</v>
      </c>
      <c r="G324" s="12" t="s">
        <v>757</v>
      </c>
      <c r="H324" s="12" t="s">
        <v>774</v>
      </c>
      <c r="I324" s="14">
        <v>10</v>
      </c>
      <c r="J324" s="13">
        <f>IF(B324="","",SUMIF(Bieu04A_12thang!$B:$B,B324,Bieu04A_12thang!$O:$O))</f>
        <v>18629</v>
      </c>
      <c r="K324" s="23"/>
      <c r="L324" s="13">
        <f>IF(B324="","",SUMIF(Bieu04A_12thang!$B:$B,B324,Bieu04A_12thang!$AB:$AB))</f>
        <v>41468154</v>
      </c>
      <c r="M324" s="12"/>
      <c r="N324" s="12"/>
      <c r="O324" s="12"/>
      <c r="P324" s="12"/>
    </row>
    <row r="325" spans="1:16" x14ac:dyDescent="0.3">
      <c r="A325" s="11">
        <v>319</v>
      </c>
      <c r="B325" s="12" t="s">
        <v>177</v>
      </c>
      <c r="C325" s="12" t="s">
        <v>570</v>
      </c>
      <c r="D325" s="12" t="s">
        <v>152</v>
      </c>
      <c r="E325" s="12">
        <v>2</v>
      </c>
      <c r="F325" s="12" t="s">
        <v>101</v>
      </c>
      <c r="G325" s="12" t="s">
        <v>757</v>
      </c>
      <c r="H325" s="12" t="s">
        <v>774</v>
      </c>
      <c r="I325" s="14">
        <v>10</v>
      </c>
      <c r="J325" s="13">
        <f>IF(B325="","",SUMIF(Bieu04A_12thang!$B:$B,B325,Bieu04A_12thang!$O:$O))</f>
        <v>212</v>
      </c>
      <c r="K325" s="23"/>
      <c r="L325" s="13">
        <f>IF(B325="","",SUMIF(Bieu04A_12thang!$B:$B,B325,Bieu04A_12thang!$AB:$AB))</f>
        <v>471912</v>
      </c>
      <c r="M325" s="12"/>
      <c r="N325" s="12"/>
      <c r="O325" s="12"/>
      <c r="P325" s="12"/>
    </row>
    <row r="326" spans="1:16" x14ac:dyDescent="0.3">
      <c r="A326" s="11">
        <v>320</v>
      </c>
      <c r="B326" s="12" t="s">
        <v>185</v>
      </c>
      <c r="C326" s="12" t="s">
        <v>570</v>
      </c>
      <c r="D326" s="12" t="s">
        <v>152</v>
      </c>
      <c r="E326" s="12">
        <v>2</v>
      </c>
      <c r="F326" s="12" t="s">
        <v>101</v>
      </c>
      <c r="G326" s="12" t="s">
        <v>757</v>
      </c>
      <c r="H326" s="12" t="s">
        <v>774</v>
      </c>
      <c r="I326" s="14">
        <v>10</v>
      </c>
      <c r="J326" s="13">
        <f>IF(B326="","",SUMIF(Bieu04A_12thang!$B:$B,B326,Bieu04A_12thang!$O:$O))</f>
        <v>222</v>
      </c>
      <c r="K326" s="23"/>
      <c r="L326" s="13">
        <f>IF(B326="","",SUMIF(Bieu04A_12thang!$B:$B,B326,Bieu04A_12thang!$AB:$AB))</f>
        <v>494172</v>
      </c>
      <c r="M326" s="12"/>
      <c r="N326" s="12"/>
      <c r="O326" s="12"/>
      <c r="P326" s="12"/>
    </row>
    <row r="327" spans="1:16" x14ac:dyDescent="0.3">
      <c r="A327" s="11">
        <v>321</v>
      </c>
      <c r="B327" s="12" t="s">
        <v>225</v>
      </c>
      <c r="C327" s="12" t="s">
        <v>573</v>
      </c>
      <c r="D327" s="12" t="s">
        <v>152</v>
      </c>
      <c r="E327" s="12">
        <v>2</v>
      </c>
      <c r="F327" s="12" t="s">
        <v>101</v>
      </c>
      <c r="G327" s="12" t="s">
        <v>757</v>
      </c>
      <c r="H327" s="12" t="s">
        <v>774</v>
      </c>
      <c r="I327" s="14">
        <v>18</v>
      </c>
      <c r="J327" s="13">
        <f>IF(B327="","",SUMIF(Bieu04A_12thang!$B:$B,B327,Bieu04A_12thang!$O:$O))</f>
        <v>42194</v>
      </c>
      <c r="K327" s="23"/>
      <c r="L327" s="13">
        <f>IF(B327="","",SUMIF(Bieu04A_12thang!$B:$B,B327,Bieu04A_12thang!$AB:$AB))</f>
        <v>93923844</v>
      </c>
      <c r="M327" s="12"/>
      <c r="N327" s="12"/>
      <c r="O327" s="12"/>
      <c r="P327" s="12"/>
    </row>
    <row r="328" spans="1:16" x14ac:dyDescent="0.3">
      <c r="A328" s="11">
        <v>322</v>
      </c>
      <c r="B328" s="12" t="s">
        <v>231</v>
      </c>
      <c r="C328" s="12" t="s">
        <v>579</v>
      </c>
      <c r="D328" s="12" t="s">
        <v>152</v>
      </c>
      <c r="E328" s="12">
        <v>2</v>
      </c>
      <c r="F328" s="12" t="s">
        <v>101</v>
      </c>
      <c r="G328" s="12" t="s">
        <v>758</v>
      </c>
      <c r="H328" s="12" t="s">
        <v>774</v>
      </c>
      <c r="I328" s="14">
        <v>127</v>
      </c>
      <c r="J328" s="13">
        <f>IF(B328="","",SUMIF(Bieu04A_12thang!$B:$B,B328,Bieu04A_12thang!$O:$O))</f>
        <v>4704</v>
      </c>
      <c r="K328" s="23"/>
      <c r="L328" s="13">
        <f>IF(B328="","",SUMIF(Bieu04A_12thang!$B:$B,B328,Bieu04A_12thang!$AB:$AB))</f>
        <v>10471104</v>
      </c>
      <c r="M328" s="12"/>
      <c r="N328" s="12"/>
      <c r="O328" s="12"/>
      <c r="P328" s="12"/>
    </row>
    <row r="329" spans="1:16" x14ac:dyDescent="0.3">
      <c r="A329" s="11">
        <v>323</v>
      </c>
      <c r="B329" s="12" t="s">
        <v>241</v>
      </c>
      <c r="C329" s="12" t="s">
        <v>586</v>
      </c>
      <c r="D329" s="12" t="s">
        <v>152</v>
      </c>
      <c r="E329" s="12">
        <v>2</v>
      </c>
      <c r="F329" s="12" t="s">
        <v>101</v>
      </c>
      <c r="G329" s="12" t="s">
        <v>757</v>
      </c>
      <c r="H329" s="12" t="s">
        <v>774</v>
      </c>
      <c r="I329" s="14">
        <v>10</v>
      </c>
      <c r="J329" s="13">
        <f>IF(B329="","",SUMIF(Bieu04A_12thang!$B:$B,B329,Bieu04A_12thang!$O:$O))</f>
        <v>319</v>
      </c>
      <c r="K329" s="23"/>
      <c r="L329" s="13">
        <f>IF(B329="","",SUMIF(Bieu04A_12thang!$B:$B,B329,Bieu04A_12thang!$AB:$AB))</f>
        <v>710094</v>
      </c>
      <c r="M329" s="12"/>
      <c r="N329" s="12"/>
      <c r="O329" s="12"/>
      <c r="P329" s="12"/>
    </row>
    <row r="330" spans="1:16" x14ac:dyDescent="0.3">
      <c r="A330" s="11">
        <v>324</v>
      </c>
      <c r="B330" s="12" t="s">
        <v>300</v>
      </c>
      <c r="C330" s="12" t="s">
        <v>606</v>
      </c>
      <c r="D330" s="12" t="s">
        <v>152</v>
      </c>
      <c r="E330" s="12">
        <v>1</v>
      </c>
      <c r="F330" s="12" t="s">
        <v>101</v>
      </c>
      <c r="G330" s="12" t="s">
        <v>757</v>
      </c>
      <c r="H330" s="12" t="s">
        <v>774</v>
      </c>
      <c r="I330" s="14">
        <v>10</v>
      </c>
      <c r="J330" s="13">
        <f>IF(B330="","",SUMIF(Bieu04A_12thang!$B:$B,B330,Bieu04A_12thang!$O:$O))</f>
        <v>7055</v>
      </c>
      <c r="K330" s="23"/>
      <c r="L330" s="13">
        <f>IF(B330="","",SUMIF(Bieu04A_12thang!$B:$B,B330,Bieu04A_12thang!$AB:$AB))</f>
        <v>14617960</v>
      </c>
      <c r="M330" s="12"/>
      <c r="N330" s="12"/>
      <c r="O330" s="12"/>
      <c r="P330" s="12"/>
    </row>
    <row r="331" spans="1:16" x14ac:dyDescent="0.3">
      <c r="A331" s="11">
        <v>325</v>
      </c>
      <c r="B331" s="12" t="s">
        <v>328</v>
      </c>
      <c r="C331" s="12" t="s">
        <v>622</v>
      </c>
      <c r="D331" s="12" t="s">
        <v>152</v>
      </c>
      <c r="E331" s="12">
        <v>2</v>
      </c>
      <c r="F331" s="12" t="s">
        <v>101</v>
      </c>
      <c r="G331" s="12" t="s">
        <v>757</v>
      </c>
      <c r="H331" s="12" t="s">
        <v>774</v>
      </c>
      <c r="I331" s="14">
        <v>10</v>
      </c>
      <c r="J331" s="13">
        <f>IF(B331="","",SUMIF(Bieu04A_12thang!$B:$B,B331,Bieu04A_12thang!$O:$O))</f>
        <v>1762</v>
      </c>
      <c r="K331" s="23"/>
      <c r="L331" s="13">
        <f>IF(B331="","",SUMIF(Bieu04A_12thang!$B:$B,B331,Bieu04A_12thang!$AB:$AB))</f>
        <v>3922212</v>
      </c>
      <c r="M331" s="12"/>
      <c r="N331" s="12"/>
      <c r="O331" s="12"/>
      <c r="P331" s="12"/>
    </row>
    <row r="332" spans="1:16" x14ac:dyDescent="0.3">
      <c r="A332" s="11">
        <v>326</v>
      </c>
      <c r="B332" s="12" t="s">
        <v>329</v>
      </c>
      <c r="C332" s="12" t="s">
        <v>623</v>
      </c>
      <c r="D332" s="12" t="s">
        <v>152</v>
      </c>
      <c r="E332" s="12">
        <v>2</v>
      </c>
      <c r="F332" s="12" t="s">
        <v>101</v>
      </c>
      <c r="G332" s="12" t="s">
        <v>757</v>
      </c>
      <c r="H332" s="12" t="s">
        <v>774</v>
      </c>
      <c r="I332" s="14">
        <v>10</v>
      </c>
      <c r="J332" s="13">
        <f>IF(B332="","",SUMIF(Bieu04A_12thang!$B:$B,B332,Bieu04A_12thang!$O:$O))</f>
        <v>489</v>
      </c>
      <c r="K332" s="23"/>
      <c r="L332" s="13">
        <f>IF(B332="","",SUMIF(Bieu04A_12thang!$B:$B,B332,Bieu04A_12thang!$AB:$AB))</f>
        <v>1088514</v>
      </c>
      <c r="M332" s="12"/>
      <c r="N332" s="12"/>
      <c r="O332" s="12"/>
      <c r="P332" s="12"/>
    </row>
    <row r="333" spans="1:16" x14ac:dyDescent="0.3">
      <c r="A333" s="11">
        <v>327</v>
      </c>
      <c r="B333" s="12" t="s">
        <v>330</v>
      </c>
      <c r="C333" s="12" t="s">
        <v>623</v>
      </c>
      <c r="D333" s="12" t="s">
        <v>152</v>
      </c>
      <c r="E333" s="12">
        <v>2</v>
      </c>
      <c r="F333" s="12" t="s">
        <v>101</v>
      </c>
      <c r="G333" s="12" t="s">
        <v>757</v>
      </c>
      <c r="H333" s="12" t="s">
        <v>774</v>
      </c>
      <c r="I333" s="14">
        <v>10</v>
      </c>
      <c r="J333" s="13">
        <f>IF(B333="","",SUMIF(Bieu04A_12thang!$B:$B,B333,Bieu04A_12thang!$O:$O))</f>
        <v>351</v>
      </c>
      <c r="K333" s="23"/>
      <c r="L333" s="13">
        <f>IF(B333="","",SUMIF(Bieu04A_12thang!$B:$B,B333,Bieu04A_12thang!$AB:$AB))</f>
        <v>781326</v>
      </c>
      <c r="M333" s="12"/>
      <c r="N333" s="12"/>
      <c r="O333" s="12"/>
      <c r="P333" s="12"/>
    </row>
    <row r="334" spans="1:16" x14ac:dyDescent="0.3">
      <c r="A334" s="11">
        <v>328</v>
      </c>
      <c r="B334" s="12" t="s">
        <v>331</v>
      </c>
      <c r="C334" s="12" t="s">
        <v>623</v>
      </c>
      <c r="D334" s="12" t="s">
        <v>152</v>
      </c>
      <c r="E334" s="12">
        <v>2</v>
      </c>
      <c r="F334" s="12" t="s">
        <v>101</v>
      </c>
      <c r="G334" s="12" t="s">
        <v>757</v>
      </c>
      <c r="H334" s="12" t="s">
        <v>774</v>
      </c>
      <c r="I334" s="14">
        <v>10</v>
      </c>
      <c r="J334" s="13">
        <f>IF(B334="","",SUMIF(Bieu04A_12thang!$B:$B,B334,Bieu04A_12thang!$O:$O))</f>
        <v>436</v>
      </c>
      <c r="K334" s="23"/>
      <c r="L334" s="13">
        <f>IF(B334="","",SUMIF(Bieu04A_12thang!$B:$B,B334,Bieu04A_12thang!$AB:$AB))</f>
        <v>970536</v>
      </c>
      <c r="M334" s="12"/>
      <c r="N334" s="12"/>
      <c r="O334" s="12"/>
      <c r="P334" s="12"/>
    </row>
    <row r="335" spans="1:16" x14ac:dyDescent="0.3">
      <c r="A335" s="11">
        <v>329</v>
      </c>
      <c r="B335" s="12" t="s">
        <v>332</v>
      </c>
      <c r="C335" s="12" t="s">
        <v>623</v>
      </c>
      <c r="D335" s="12" t="s">
        <v>152</v>
      </c>
      <c r="E335" s="12">
        <v>2</v>
      </c>
      <c r="F335" s="12" t="s">
        <v>101</v>
      </c>
      <c r="G335" s="12" t="s">
        <v>757</v>
      </c>
      <c r="H335" s="12" t="s">
        <v>774</v>
      </c>
      <c r="I335" s="14">
        <v>10</v>
      </c>
      <c r="J335" s="13">
        <f>IF(B335="","",SUMIF(Bieu04A_12thang!$B:$B,B335,Bieu04A_12thang!$O:$O))</f>
        <v>2219</v>
      </c>
      <c r="K335" s="23"/>
      <c r="L335" s="13">
        <f>IF(B335="","",SUMIF(Bieu04A_12thang!$B:$B,B335,Bieu04A_12thang!$AB:$AB))</f>
        <v>4939494</v>
      </c>
      <c r="M335" s="12"/>
      <c r="N335" s="12"/>
      <c r="O335" s="12"/>
      <c r="P335" s="12"/>
    </row>
    <row r="336" spans="1:16" x14ac:dyDescent="0.3">
      <c r="A336" s="11">
        <v>330</v>
      </c>
      <c r="B336" s="12" t="s">
        <v>333</v>
      </c>
      <c r="C336" s="12" t="s">
        <v>623</v>
      </c>
      <c r="D336" s="12" t="s">
        <v>152</v>
      </c>
      <c r="E336" s="12">
        <v>2</v>
      </c>
      <c r="F336" s="12" t="s">
        <v>101</v>
      </c>
      <c r="G336" s="12" t="s">
        <v>757</v>
      </c>
      <c r="H336" s="12" t="s">
        <v>774</v>
      </c>
      <c r="I336" s="14">
        <v>10</v>
      </c>
      <c r="J336" s="13">
        <f>IF(B336="","",SUMIF(Bieu04A_12thang!$B:$B,B336,Bieu04A_12thang!$O:$O))</f>
        <v>207</v>
      </c>
      <c r="K336" s="23"/>
      <c r="L336" s="13">
        <f>IF(B336="","",SUMIF(Bieu04A_12thang!$B:$B,B336,Bieu04A_12thang!$AB:$AB))</f>
        <v>460782</v>
      </c>
      <c r="M336" s="12"/>
      <c r="N336" s="12"/>
      <c r="O336" s="12"/>
      <c r="P336" s="12"/>
    </row>
    <row r="337" spans="1:16" x14ac:dyDescent="0.3">
      <c r="A337" s="11">
        <v>331</v>
      </c>
      <c r="B337" s="12" t="s">
        <v>334</v>
      </c>
      <c r="C337" s="12" t="s">
        <v>623</v>
      </c>
      <c r="D337" s="12" t="s">
        <v>152</v>
      </c>
      <c r="E337" s="12">
        <v>2</v>
      </c>
      <c r="F337" s="12" t="s">
        <v>101</v>
      </c>
      <c r="G337" s="12" t="s">
        <v>757</v>
      </c>
      <c r="H337" s="12" t="s">
        <v>774</v>
      </c>
      <c r="I337" s="14">
        <v>10</v>
      </c>
      <c r="J337" s="13">
        <f>IF(B337="","",SUMIF(Bieu04A_12thang!$B:$B,B337,Bieu04A_12thang!$O:$O))</f>
        <v>164</v>
      </c>
      <c r="K337" s="23"/>
      <c r="L337" s="13">
        <f>IF(B337="","",SUMIF(Bieu04A_12thang!$B:$B,B337,Bieu04A_12thang!$AB:$AB))</f>
        <v>365064</v>
      </c>
      <c r="M337" s="12"/>
      <c r="N337" s="12"/>
      <c r="O337" s="12"/>
      <c r="P337" s="12"/>
    </row>
    <row r="338" spans="1:16" x14ac:dyDescent="0.3">
      <c r="A338" s="11">
        <v>332</v>
      </c>
      <c r="B338" s="12" t="s">
        <v>335</v>
      </c>
      <c r="C338" s="12" t="s">
        <v>623</v>
      </c>
      <c r="D338" s="12" t="s">
        <v>152</v>
      </c>
      <c r="E338" s="12">
        <v>2</v>
      </c>
      <c r="F338" s="12" t="s">
        <v>101</v>
      </c>
      <c r="G338" s="12" t="s">
        <v>757</v>
      </c>
      <c r="H338" s="12" t="s">
        <v>774</v>
      </c>
      <c r="I338" s="14">
        <v>10</v>
      </c>
      <c r="J338" s="13">
        <f>IF(B338="","",SUMIF(Bieu04A_12thang!$B:$B,B338,Bieu04A_12thang!$O:$O))</f>
        <v>542</v>
      </c>
      <c r="K338" s="23"/>
      <c r="L338" s="13">
        <f>IF(B338="","",SUMIF(Bieu04A_12thang!$B:$B,B338,Bieu04A_12thang!$AB:$AB))</f>
        <v>1206492</v>
      </c>
      <c r="M338" s="12"/>
      <c r="N338" s="12"/>
      <c r="O338" s="12"/>
      <c r="P338" s="12"/>
    </row>
    <row r="339" spans="1:16" x14ac:dyDescent="0.3">
      <c r="A339" s="11">
        <v>333</v>
      </c>
      <c r="B339" s="12" t="s">
        <v>336</v>
      </c>
      <c r="C339" s="12" t="s">
        <v>623</v>
      </c>
      <c r="D339" s="12" t="s">
        <v>152</v>
      </c>
      <c r="E339" s="12">
        <v>2</v>
      </c>
      <c r="F339" s="12" t="s">
        <v>101</v>
      </c>
      <c r="G339" s="12" t="s">
        <v>757</v>
      </c>
      <c r="H339" s="12" t="s">
        <v>774</v>
      </c>
      <c r="I339" s="14">
        <v>10</v>
      </c>
      <c r="J339" s="13">
        <f>IF(B339="","",SUMIF(Bieu04A_12thang!$B:$B,B339,Bieu04A_12thang!$O:$O))</f>
        <v>1280</v>
      </c>
      <c r="K339" s="23"/>
      <c r="L339" s="13">
        <f>IF(B339="","",SUMIF(Bieu04A_12thang!$B:$B,B339,Bieu04A_12thang!$AB:$AB))</f>
        <v>2849280</v>
      </c>
      <c r="M339" s="12"/>
      <c r="N339" s="12"/>
      <c r="O339" s="12"/>
      <c r="P339" s="12"/>
    </row>
    <row r="340" spans="1:16" x14ac:dyDescent="0.3">
      <c r="A340" s="11">
        <v>334</v>
      </c>
      <c r="B340" s="12" t="s">
        <v>337</v>
      </c>
      <c r="C340" s="12" t="s">
        <v>623</v>
      </c>
      <c r="D340" s="12" t="s">
        <v>152</v>
      </c>
      <c r="E340" s="12">
        <v>2</v>
      </c>
      <c r="F340" s="12" t="s">
        <v>101</v>
      </c>
      <c r="G340" s="12" t="s">
        <v>757</v>
      </c>
      <c r="H340" s="12" t="s">
        <v>774</v>
      </c>
      <c r="I340" s="14">
        <v>10</v>
      </c>
      <c r="J340" s="13">
        <f>IF(B340="","",SUMIF(Bieu04A_12thang!$B:$B,B340,Bieu04A_12thang!$O:$O))</f>
        <v>421</v>
      </c>
      <c r="K340" s="23"/>
      <c r="L340" s="13">
        <f>IF(B340="","",SUMIF(Bieu04A_12thang!$B:$B,B340,Bieu04A_12thang!$AB:$AB))</f>
        <v>937146</v>
      </c>
      <c r="M340" s="12"/>
      <c r="N340" s="12"/>
      <c r="O340" s="12"/>
      <c r="P340" s="12"/>
    </row>
    <row r="341" spans="1:16" x14ac:dyDescent="0.3">
      <c r="A341" s="11">
        <v>335</v>
      </c>
      <c r="B341" s="12" t="s">
        <v>338</v>
      </c>
      <c r="C341" s="12" t="s">
        <v>623</v>
      </c>
      <c r="D341" s="12" t="s">
        <v>152</v>
      </c>
      <c r="E341" s="12">
        <v>2</v>
      </c>
      <c r="F341" s="12" t="s">
        <v>101</v>
      </c>
      <c r="G341" s="12" t="s">
        <v>757</v>
      </c>
      <c r="H341" s="12" t="s">
        <v>774</v>
      </c>
      <c r="I341" s="14">
        <v>10</v>
      </c>
      <c r="J341" s="13">
        <f>IF(B341="","",SUMIF(Bieu04A_12thang!$B:$B,B341,Bieu04A_12thang!$O:$O))</f>
        <v>1171</v>
      </c>
      <c r="K341" s="23"/>
      <c r="L341" s="13">
        <f>IF(B341="","",SUMIF(Bieu04A_12thang!$B:$B,B341,Bieu04A_12thang!$AB:$AB))</f>
        <v>2606646</v>
      </c>
      <c r="M341" s="12"/>
      <c r="N341" s="12"/>
      <c r="O341" s="12"/>
      <c r="P341" s="12"/>
    </row>
    <row r="342" spans="1:16" x14ac:dyDescent="0.3">
      <c r="A342" s="11">
        <v>336</v>
      </c>
      <c r="B342" s="12" t="s">
        <v>339</v>
      </c>
      <c r="C342" s="12" t="s">
        <v>623</v>
      </c>
      <c r="D342" s="12" t="s">
        <v>152</v>
      </c>
      <c r="E342" s="12">
        <v>2</v>
      </c>
      <c r="F342" s="12" t="s">
        <v>101</v>
      </c>
      <c r="G342" s="12" t="s">
        <v>757</v>
      </c>
      <c r="H342" s="12" t="s">
        <v>774</v>
      </c>
      <c r="I342" s="14">
        <v>10</v>
      </c>
      <c r="J342" s="13">
        <f>IF(B342="","",SUMIF(Bieu04A_12thang!$B:$B,B342,Bieu04A_12thang!$O:$O))</f>
        <v>1344</v>
      </c>
      <c r="K342" s="23"/>
      <c r="L342" s="13">
        <f>IF(B342="","",SUMIF(Bieu04A_12thang!$B:$B,B342,Bieu04A_12thang!$AB:$AB))</f>
        <v>2991744</v>
      </c>
      <c r="M342" s="12"/>
      <c r="N342" s="12"/>
      <c r="O342" s="12"/>
      <c r="P342" s="12"/>
    </row>
    <row r="343" spans="1:16" x14ac:dyDescent="0.3">
      <c r="A343" s="11">
        <v>337</v>
      </c>
      <c r="B343" s="12" t="s">
        <v>340</v>
      </c>
      <c r="C343" s="12" t="s">
        <v>623</v>
      </c>
      <c r="D343" s="12" t="s">
        <v>152</v>
      </c>
      <c r="E343" s="12">
        <v>2</v>
      </c>
      <c r="F343" s="12" t="s">
        <v>101</v>
      </c>
      <c r="G343" s="12" t="s">
        <v>757</v>
      </c>
      <c r="H343" s="12" t="s">
        <v>774</v>
      </c>
      <c r="I343" s="14">
        <v>10</v>
      </c>
      <c r="J343" s="13">
        <f>IF(B343="","",SUMIF(Bieu04A_12thang!$B:$B,B343,Bieu04A_12thang!$O:$O))</f>
        <v>274</v>
      </c>
      <c r="K343" s="23"/>
      <c r="L343" s="13">
        <f>IF(B343="","",SUMIF(Bieu04A_12thang!$B:$B,B343,Bieu04A_12thang!$AB:$AB))</f>
        <v>609924</v>
      </c>
      <c r="M343" s="12"/>
      <c r="N343" s="12"/>
      <c r="O343" s="12"/>
      <c r="P343" s="12"/>
    </row>
    <row r="344" spans="1:16" x14ac:dyDescent="0.3">
      <c r="A344" s="11">
        <v>338</v>
      </c>
      <c r="B344" s="12" t="s">
        <v>349</v>
      </c>
      <c r="C344" s="12" t="s">
        <v>630</v>
      </c>
      <c r="D344" s="12" t="s">
        <v>152</v>
      </c>
      <c r="E344" s="12">
        <v>1</v>
      </c>
      <c r="F344" s="12" t="s">
        <v>101</v>
      </c>
      <c r="G344" s="12" t="s">
        <v>757</v>
      </c>
      <c r="H344" s="12" t="s">
        <v>774</v>
      </c>
      <c r="I344" s="14">
        <v>10</v>
      </c>
      <c r="J344" s="13">
        <f>IF(B344="","",SUMIF(Bieu04A_12thang!$B:$B,B344,Bieu04A_12thang!$O:$O))</f>
        <v>4449</v>
      </c>
      <c r="K344" s="23"/>
      <c r="L344" s="13">
        <f>IF(B344="","",SUMIF(Bieu04A_12thang!$B:$B,B344,Bieu04A_12thang!$AB:$AB))</f>
        <v>9218328</v>
      </c>
      <c r="M344" s="12"/>
      <c r="N344" s="12"/>
      <c r="O344" s="12"/>
      <c r="P344" s="12"/>
    </row>
    <row r="345" spans="1:16" x14ac:dyDescent="0.3">
      <c r="A345" s="11">
        <v>339</v>
      </c>
      <c r="B345" s="12" t="s">
        <v>357</v>
      </c>
      <c r="C345" s="12" t="s">
        <v>637</v>
      </c>
      <c r="D345" s="12" t="s">
        <v>152</v>
      </c>
      <c r="E345" s="12">
        <v>1</v>
      </c>
      <c r="F345" s="12" t="s">
        <v>101</v>
      </c>
      <c r="G345" s="12" t="s">
        <v>757</v>
      </c>
      <c r="H345" s="12" t="s">
        <v>774</v>
      </c>
      <c r="I345" s="14">
        <v>10</v>
      </c>
      <c r="J345" s="13">
        <f>IF(B345="","",SUMIF(Bieu04A_12thang!$B:$B,B345,Bieu04A_12thang!$O:$O))</f>
        <v>1743</v>
      </c>
      <c r="K345" s="23"/>
      <c r="L345" s="13">
        <f>IF(B345="","",SUMIF(Bieu04A_12thang!$B:$B,B345,Bieu04A_12thang!$AB:$AB))</f>
        <v>3611496</v>
      </c>
      <c r="M345" s="12"/>
      <c r="N345" s="12"/>
      <c r="O345" s="12"/>
      <c r="P345" s="12"/>
    </row>
    <row r="346" spans="1:16" x14ac:dyDescent="0.3">
      <c r="A346" s="11">
        <v>340</v>
      </c>
      <c r="B346" s="12" t="s">
        <v>358</v>
      </c>
      <c r="C346" s="12" t="s">
        <v>638</v>
      </c>
      <c r="D346" s="12" t="s">
        <v>152</v>
      </c>
      <c r="E346" s="12">
        <v>1</v>
      </c>
      <c r="F346" s="12" t="s">
        <v>101</v>
      </c>
      <c r="G346" s="12" t="s">
        <v>757</v>
      </c>
      <c r="H346" s="12" t="s">
        <v>774</v>
      </c>
      <c r="I346" s="14">
        <v>10</v>
      </c>
      <c r="J346" s="13">
        <f>IF(B346="","",SUMIF(Bieu04A_12thang!$B:$B,B346,Bieu04A_12thang!$O:$O))</f>
        <v>3048</v>
      </c>
      <c r="K346" s="23"/>
      <c r="L346" s="13">
        <f>IF(B346="","",SUMIF(Bieu04A_12thang!$B:$B,B346,Bieu04A_12thang!$AB:$AB))</f>
        <v>6315456</v>
      </c>
      <c r="M346" s="12"/>
      <c r="N346" s="12"/>
      <c r="O346" s="12"/>
      <c r="P346" s="12"/>
    </row>
    <row r="347" spans="1:16" x14ac:dyDescent="0.3">
      <c r="A347" s="11">
        <v>341</v>
      </c>
      <c r="B347" s="12" t="s">
        <v>359</v>
      </c>
      <c r="C347" s="12" t="s">
        <v>637</v>
      </c>
      <c r="D347" s="12" t="s">
        <v>152</v>
      </c>
      <c r="E347" s="12">
        <v>1</v>
      </c>
      <c r="F347" s="12" t="s">
        <v>101</v>
      </c>
      <c r="G347" s="12" t="s">
        <v>758</v>
      </c>
      <c r="H347" s="12" t="s">
        <v>774</v>
      </c>
      <c r="I347" s="14">
        <v>127</v>
      </c>
      <c r="J347" s="13">
        <f>IF(B347="","",SUMIF(Bieu04A_12thang!$B:$B,B347,Bieu04A_12thang!$O:$O))</f>
        <v>17234</v>
      </c>
      <c r="K347" s="23"/>
      <c r="L347" s="13">
        <f>IF(B347="","",SUMIF(Bieu04A_12thang!$B:$B,B347,Bieu04A_12thang!$AB:$AB))</f>
        <v>35708848</v>
      </c>
      <c r="M347" s="12"/>
      <c r="N347" s="12"/>
      <c r="O347" s="12"/>
      <c r="P347" s="12"/>
    </row>
    <row r="348" spans="1:16" x14ac:dyDescent="0.3">
      <c r="A348" s="11">
        <v>342</v>
      </c>
      <c r="B348" s="12" t="s">
        <v>361</v>
      </c>
      <c r="C348" s="12" t="s">
        <v>640</v>
      </c>
      <c r="D348" s="12" t="s">
        <v>152</v>
      </c>
      <c r="E348" s="12">
        <v>1</v>
      </c>
      <c r="F348" s="12" t="s">
        <v>101</v>
      </c>
      <c r="G348" s="12" t="s">
        <v>757</v>
      </c>
      <c r="H348" s="12" t="s">
        <v>774</v>
      </c>
      <c r="I348" s="14">
        <v>10</v>
      </c>
      <c r="J348" s="13">
        <f>IF(B348="","",SUMIF(Bieu04A_12thang!$B:$B,B348,Bieu04A_12thang!$O:$O))</f>
        <v>3872</v>
      </c>
      <c r="K348" s="23"/>
      <c r="L348" s="13">
        <f>IF(B348="","",SUMIF(Bieu04A_12thang!$B:$B,B348,Bieu04A_12thang!$AB:$AB))</f>
        <v>8022784</v>
      </c>
      <c r="M348" s="12"/>
      <c r="N348" s="12"/>
      <c r="O348" s="12"/>
      <c r="P348" s="12"/>
    </row>
    <row r="349" spans="1:16" x14ac:dyDescent="0.3">
      <c r="A349" s="11">
        <v>343</v>
      </c>
      <c r="B349" s="12" t="s">
        <v>362</v>
      </c>
      <c r="C349" s="12" t="s">
        <v>641</v>
      </c>
      <c r="D349" s="12" t="s">
        <v>152</v>
      </c>
      <c r="E349" s="12">
        <v>1</v>
      </c>
      <c r="F349" s="12" t="s">
        <v>101</v>
      </c>
      <c r="G349" s="12" t="s">
        <v>757</v>
      </c>
      <c r="H349" s="12" t="s">
        <v>774</v>
      </c>
      <c r="I349" s="14">
        <v>10</v>
      </c>
      <c r="J349" s="13">
        <f>IF(B349="","",SUMIF(Bieu04A_12thang!$B:$B,B349,Bieu04A_12thang!$O:$O))</f>
        <v>2774</v>
      </c>
      <c r="K349" s="23"/>
      <c r="L349" s="13">
        <f>IF(B349="","",SUMIF(Bieu04A_12thang!$B:$B,B349,Bieu04A_12thang!$AB:$AB))</f>
        <v>5747728</v>
      </c>
      <c r="M349" s="12"/>
      <c r="N349" s="12"/>
      <c r="O349" s="12"/>
      <c r="P349" s="12"/>
    </row>
    <row r="350" spans="1:16" x14ac:dyDescent="0.3">
      <c r="A350" s="11">
        <v>344</v>
      </c>
      <c r="B350" s="12" t="s">
        <v>363</v>
      </c>
      <c r="C350" s="12" t="s">
        <v>642</v>
      </c>
      <c r="D350" s="12" t="s">
        <v>152</v>
      </c>
      <c r="E350" s="12">
        <v>1</v>
      </c>
      <c r="F350" s="12" t="s">
        <v>101</v>
      </c>
      <c r="G350" s="12" t="s">
        <v>758</v>
      </c>
      <c r="H350" s="12" t="s">
        <v>774</v>
      </c>
      <c r="I350" s="14">
        <v>127</v>
      </c>
      <c r="J350" s="13">
        <f>IF(B350="","",SUMIF(Bieu04A_12thang!$B:$B,B350,Bieu04A_12thang!$O:$O))</f>
        <v>27830</v>
      </c>
      <c r="K350" s="23"/>
      <c r="L350" s="13">
        <f>IF(B350="","",SUMIF(Bieu04A_12thang!$B:$B,B350,Bieu04A_12thang!$AB:$AB))</f>
        <v>57663760</v>
      </c>
      <c r="M350" s="12"/>
      <c r="N350" s="12"/>
      <c r="O350" s="12"/>
      <c r="P350" s="12"/>
    </row>
    <row r="351" spans="1:16" x14ac:dyDescent="0.3">
      <c r="A351" s="11">
        <v>345</v>
      </c>
      <c r="B351" s="12" t="s">
        <v>391</v>
      </c>
      <c r="C351" s="12" t="s">
        <v>661</v>
      </c>
      <c r="D351" s="12" t="s">
        <v>152</v>
      </c>
      <c r="E351" s="12">
        <v>1</v>
      </c>
      <c r="F351" s="12" t="s">
        <v>101</v>
      </c>
      <c r="G351" s="12" t="s">
        <v>758</v>
      </c>
      <c r="H351" s="12" t="s">
        <v>774</v>
      </c>
      <c r="I351" s="14">
        <v>587</v>
      </c>
      <c r="J351" s="13">
        <f>IF(B351="","",SUMIF(Bieu04A_12thang!$B:$B,B351,Bieu04A_12thang!$O:$O))</f>
        <v>12006</v>
      </c>
      <c r="K351" s="23"/>
      <c r="L351" s="13">
        <f>IF(B351="","",SUMIF(Bieu04A_12thang!$B:$B,B351,Bieu04A_12thang!$AB:$AB))</f>
        <v>24876432</v>
      </c>
      <c r="M351" s="12"/>
      <c r="N351" s="12"/>
      <c r="O351" s="12"/>
      <c r="P351" s="12"/>
    </row>
    <row r="352" spans="1:16" x14ac:dyDescent="0.3">
      <c r="A352" s="11">
        <v>346</v>
      </c>
      <c r="B352" s="12" t="s">
        <v>405</v>
      </c>
      <c r="C352" s="12" t="s">
        <v>672</v>
      </c>
      <c r="D352" s="12" t="s">
        <v>152</v>
      </c>
      <c r="E352" s="12">
        <v>1</v>
      </c>
      <c r="F352" s="12" t="s">
        <v>101</v>
      </c>
      <c r="G352" s="12" t="s">
        <v>758</v>
      </c>
      <c r="H352" s="12" t="s">
        <v>774</v>
      </c>
      <c r="I352" s="14">
        <v>127</v>
      </c>
      <c r="J352" s="13">
        <f>IF(B352="","",SUMIF(Bieu04A_12thang!$B:$B,B352,Bieu04A_12thang!$O:$O))</f>
        <v>10038</v>
      </c>
      <c r="K352" s="23"/>
      <c r="L352" s="13">
        <f>IF(B352="","",SUMIF(Bieu04A_12thang!$B:$B,B352,Bieu04A_12thang!$AB:$AB))</f>
        <v>20798736</v>
      </c>
      <c r="M352" s="12"/>
      <c r="N352" s="12"/>
      <c r="O352" s="12"/>
      <c r="P352" s="12"/>
    </row>
    <row r="353" spans="1:16" x14ac:dyDescent="0.3">
      <c r="A353" s="11">
        <v>347</v>
      </c>
      <c r="B353" s="12" t="s">
        <v>412</v>
      </c>
      <c r="C353" s="12" t="s">
        <v>677</v>
      </c>
      <c r="D353" s="12" t="s">
        <v>152</v>
      </c>
      <c r="E353" s="12">
        <v>1</v>
      </c>
      <c r="F353" s="12" t="s">
        <v>101</v>
      </c>
      <c r="G353" s="12" t="s">
        <v>757</v>
      </c>
      <c r="H353" s="12" t="s">
        <v>774</v>
      </c>
      <c r="I353" s="14">
        <v>10</v>
      </c>
      <c r="J353" s="13">
        <f>IF(B353="","",SUMIF(Bieu04A_12thang!$B:$B,B353,Bieu04A_12thang!$O:$O))</f>
        <v>5905</v>
      </c>
      <c r="K353" s="23"/>
      <c r="L353" s="13">
        <f>IF(B353="","",SUMIF(Bieu04A_12thang!$B:$B,B353,Bieu04A_12thang!$AB:$AB))</f>
        <v>12235160</v>
      </c>
      <c r="M353" s="12"/>
      <c r="N353" s="12"/>
      <c r="O353" s="12"/>
      <c r="P353" s="12"/>
    </row>
    <row r="354" spans="1:16" x14ac:dyDescent="0.3">
      <c r="A354" s="11">
        <v>348</v>
      </c>
      <c r="B354" s="12" t="s">
        <v>413</v>
      </c>
      <c r="C354" s="12" t="s">
        <v>677</v>
      </c>
      <c r="D354" s="12" t="s">
        <v>152</v>
      </c>
      <c r="E354" s="12">
        <v>1</v>
      </c>
      <c r="F354" s="12" t="s">
        <v>101</v>
      </c>
      <c r="G354" s="12" t="s">
        <v>757</v>
      </c>
      <c r="H354" s="12" t="s">
        <v>774</v>
      </c>
      <c r="I354" s="14">
        <v>10</v>
      </c>
      <c r="J354" s="13">
        <f>IF(B354="","",SUMIF(Bieu04A_12thang!$B:$B,B354,Bieu04A_12thang!$O:$O))</f>
        <v>7759</v>
      </c>
      <c r="K354" s="23"/>
      <c r="L354" s="13">
        <f>IF(B354="","",SUMIF(Bieu04A_12thang!$B:$B,B354,Bieu04A_12thang!$AB:$AB))</f>
        <v>16076648</v>
      </c>
      <c r="M354" s="12"/>
      <c r="N354" s="12"/>
      <c r="O354" s="12"/>
      <c r="P354" s="12"/>
    </row>
    <row r="355" spans="1:16" x14ac:dyDescent="0.3">
      <c r="A355" s="11">
        <v>349</v>
      </c>
      <c r="B355" s="12" t="s">
        <v>414</v>
      </c>
      <c r="C355" s="12" t="s">
        <v>678</v>
      </c>
      <c r="D355" s="12" t="s">
        <v>152</v>
      </c>
      <c r="E355" s="12">
        <v>1</v>
      </c>
      <c r="F355" s="12" t="s">
        <v>101</v>
      </c>
      <c r="G355" s="12" t="s">
        <v>758</v>
      </c>
      <c r="H355" s="12" t="s">
        <v>774</v>
      </c>
      <c r="I355" s="14">
        <v>127</v>
      </c>
      <c r="J355" s="13">
        <f>IF(B355="","",SUMIF(Bieu04A_12thang!$B:$B,B355,Bieu04A_12thang!$O:$O))</f>
        <v>16561</v>
      </c>
      <c r="K355" s="23"/>
      <c r="L355" s="13">
        <f>IF(B355="","",SUMIF(Bieu04A_12thang!$B:$B,B355,Bieu04A_12thang!$AB:$AB))</f>
        <v>34314392</v>
      </c>
      <c r="M355" s="12"/>
      <c r="N355" s="12"/>
      <c r="O355" s="12"/>
      <c r="P355" s="12"/>
    </row>
    <row r="356" spans="1:16" x14ac:dyDescent="0.3">
      <c r="A356" s="11">
        <v>350</v>
      </c>
      <c r="B356" s="12" t="s">
        <v>444</v>
      </c>
      <c r="C356" s="12" t="s">
        <v>699</v>
      </c>
      <c r="D356" s="12" t="s">
        <v>152</v>
      </c>
      <c r="E356" s="12">
        <v>1</v>
      </c>
      <c r="F356" s="12" t="s">
        <v>101</v>
      </c>
      <c r="G356" s="12" t="s">
        <v>757</v>
      </c>
      <c r="H356" s="12" t="s">
        <v>774</v>
      </c>
      <c r="I356" s="14">
        <v>10</v>
      </c>
      <c r="J356" s="13">
        <f>IF(B356="","",SUMIF(Bieu04A_12thang!$B:$B,B356,Bieu04A_12thang!$O:$O))</f>
        <v>2731</v>
      </c>
      <c r="K356" s="23"/>
      <c r="L356" s="13">
        <f>IF(B356="","",SUMIF(Bieu04A_12thang!$B:$B,B356,Bieu04A_12thang!$AB:$AB))</f>
        <v>5658632</v>
      </c>
      <c r="M356" s="12"/>
      <c r="N356" s="12"/>
      <c r="O356" s="12"/>
      <c r="P356" s="12"/>
    </row>
    <row r="357" spans="1:16" x14ac:dyDescent="0.3">
      <c r="A357" s="11">
        <v>351</v>
      </c>
      <c r="B357" s="12" t="s">
        <v>445</v>
      </c>
      <c r="C357" s="12" t="s">
        <v>700</v>
      </c>
      <c r="D357" s="12" t="s">
        <v>152</v>
      </c>
      <c r="E357" s="12">
        <v>1</v>
      </c>
      <c r="F357" s="12" t="s">
        <v>101</v>
      </c>
      <c r="G357" s="12" t="s">
        <v>758</v>
      </c>
      <c r="H357" s="12" t="s">
        <v>774</v>
      </c>
      <c r="I357" s="14">
        <v>127</v>
      </c>
      <c r="J357" s="13">
        <f>IF(B357="","",SUMIF(Bieu04A_12thang!$B:$B,B357,Bieu04A_12thang!$O:$O))</f>
        <v>21300</v>
      </c>
      <c r="K357" s="23"/>
      <c r="L357" s="13">
        <f>IF(B357="","",SUMIF(Bieu04A_12thang!$B:$B,B357,Bieu04A_12thang!$AB:$AB))</f>
        <v>44133600</v>
      </c>
      <c r="M357" s="12"/>
      <c r="N357" s="12"/>
      <c r="O357" s="12"/>
      <c r="P357" s="12"/>
    </row>
    <row r="358" spans="1:16" x14ac:dyDescent="0.3">
      <c r="A358" s="11">
        <v>352</v>
      </c>
      <c r="B358" s="12" t="s">
        <v>446</v>
      </c>
      <c r="C358" s="12" t="s">
        <v>700</v>
      </c>
      <c r="D358" s="12" t="s">
        <v>152</v>
      </c>
      <c r="E358" s="12">
        <v>1</v>
      </c>
      <c r="F358" s="12" t="s">
        <v>101</v>
      </c>
      <c r="G358" s="12" t="s">
        <v>758</v>
      </c>
      <c r="H358" s="12" t="s">
        <v>774</v>
      </c>
      <c r="I358" s="14">
        <v>127</v>
      </c>
      <c r="J358" s="13">
        <f>IF(B358="","",SUMIF(Bieu04A_12thang!$B:$B,B358,Bieu04A_12thang!$O:$O))</f>
        <v>21960</v>
      </c>
      <c r="K358" s="23"/>
      <c r="L358" s="13">
        <f>IF(B358="","",SUMIF(Bieu04A_12thang!$B:$B,B358,Bieu04A_12thang!$AB:$AB))</f>
        <v>45501120</v>
      </c>
      <c r="M358" s="12"/>
      <c r="N358" s="12"/>
      <c r="O358" s="12"/>
      <c r="P358" s="12"/>
    </row>
    <row r="359" spans="1:16" x14ac:dyDescent="0.3">
      <c r="A359" s="11">
        <v>353</v>
      </c>
      <c r="B359" s="12" t="s">
        <v>447</v>
      </c>
      <c r="C359" s="12" t="s">
        <v>700</v>
      </c>
      <c r="D359" s="12" t="s">
        <v>152</v>
      </c>
      <c r="E359" s="12">
        <v>1</v>
      </c>
      <c r="F359" s="12" t="s">
        <v>101</v>
      </c>
      <c r="G359" s="12" t="s">
        <v>757</v>
      </c>
      <c r="H359" s="12" t="s">
        <v>774</v>
      </c>
      <c r="I359" s="14">
        <v>18</v>
      </c>
      <c r="J359" s="13">
        <f>IF(B359="","",SUMIF(Bieu04A_12thang!$B:$B,B359,Bieu04A_12thang!$O:$O))</f>
        <v>18556</v>
      </c>
      <c r="K359" s="23"/>
      <c r="L359" s="13">
        <f>IF(B359="","",SUMIF(Bieu04A_12thang!$B:$B,B359,Bieu04A_12thang!$AB:$AB))</f>
        <v>38448032</v>
      </c>
      <c r="M359" s="12"/>
      <c r="N359" s="12"/>
      <c r="O359" s="12"/>
      <c r="P359" s="12"/>
    </row>
    <row r="360" spans="1:16" x14ac:dyDescent="0.3">
      <c r="A360" s="11">
        <v>354</v>
      </c>
      <c r="B360" s="12" t="s">
        <v>466</v>
      </c>
      <c r="C360" s="12" t="s">
        <v>713</v>
      </c>
      <c r="D360" s="12" t="s">
        <v>152</v>
      </c>
      <c r="E360" s="12">
        <v>1</v>
      </c>
      <c r="F360" s="12" t="s">
        <v>101</v>
      </c>
      <c r="G360" s="12" t="s">
        <v>758</v>
      </c>
      <c r="H360" s="12" t="s">
        <v>774</v>
      </c>
      <c r="I360" s="14">
        <v>127</v>
      </c>
      <c r="J360" s="13">
        <f>IF(B360="","",SUMIF(Bieu04A_12thang!$B:$B,B360,Bieu04A_12thang!$O:$O))</f>
        <v>18942</v>
      </c>
      <c r="K360" s="23"/>
      <c r="L360" s="13">
        <f>IF(B360="","",SUMIF(Bieu04A_12thang!$B:$B,B360,Bieu04A_12thang!$AB:$AB))</f>
        <v>39247824</v>
      </c>
      <c r="M360" s="12"/>
      <c r="N360" s="12"/>
      <c r="O360" s="12"/>
      <c r="P360" s="12"/>
    </row>
    <row r="361" spans="1:16" x14ac:dyDescent="0.3">
      <c r="A361" s="11">
        <v>355</v>
      </c>
      <c r="B361" s="12" t="s">
        <v>529</v>
      </c>
      <c r="C361" s="12" t="s">
        <v>738</v>
      </c>
      <c r="D361" s="12" t="s">
        <v>152</v>
      </c>
      <c r="E361" s="12">
        <v>2</v>
      </c>
      <c r="F361" s="12" t="s">
        <v>101</v>
      </c>
      <c r="G361" s="12" t="s">
        <v>757</v>
      </c>
      <c r="H361" s="12" t="s">
        <v>774</v>
      </c>
      <c r="I361" s="14">
        <v>10</v>
      </c>
      <c r="J361" s="13">
        <f>IF(B361="","",SUMIF(Bieu04A_12thang!$B:$B,B361,Bieu04A_12thang!$O:$O))</f>
        <v>341</v>
      </c>
      <c r="K361" s="23"/>
      <c r="L361" s="13">
        <f>IF(B361="","",SUMIF(Bieu04A_12thang!$B:$B,B361,Bieu04A_12thang!$AB:$AB))</f>
        <v>759066</v>
      </c>
      <c r="M361" s="12"/>
      <c r="N361" s="12"/>
      <c r="O361" s="12"/>
      <c r="P361" s="12"/>
    </row>
    <row r="362" spans="1:16" x14ac:dyDescent="0.3">
      <c r="A362" s="11">
        <v>356</v>
      </c>
      <c r="B362" s="12" t="s">
        <v>545</v>
      </c>
      <c r="C362" s="12" t="s">
        <v>745</v>
      </c>
      <c r="D362" s="12" t="s">
        <v>152</v>
      </c>
      <c r="E362" s="12">
        <v>2</v>
      </c>
      <c r="F362" s="12" t="s">
        <v>101</v>
      </c>
      <c r="G362" s="12" t="s">
        <v>757</v>
      </c>
      <c r="H362" s="12" t="s">
        <v>774</v>
      </c>
      <c r="I362" s="14">
        <v>18</v>
      </c>
      <c r="J362" s="13">
        <f>IF(B362="","",SUMIF(Bieu04A_12thang!$B:$B,B362,Bieu04A_12thang!$O:$O))</f>
        <v>30174</v>
      </c>
      <c r="K362" s="23"/>
      <c r="L362" s="13">
        <f>IF(B362="","",SUMIF(Bieu04A_12thang!$B:$B,B362,Bieu04A_12thang!$AB:$AB))</f>
        <v>67167324</v>
      </c>
      <c r="M362" s="12"/>
      <c r="N362" s="12"/>
      <c r="O362" s="12"/>
      <c r="P362" s="12"/>
    </row>
    <row r="363" spans="1:16" x14ac:dyDescent="0.3">
      <c r="A363" s="11">
        <v>357</v>
      </c>
      <c r="B363" s="12" t="s">
        <v>546</v>
      </c>
      <c r="C363" s="12" t="s">
        <v>745</v>
      </c>
      <c r="D363" s="12" t="s">
        <v>152</v>
      </c>
      <c r="E363" s="12">
        <v>2</v>
      </c>
      <c r="F363" s="12" t="s">
        <v>101</v>
      </c>
      <c r="G363" s="12" t="s">
        <v>757</v>
      </c>
      <c r="H363" s="12" t="s">
        <v>774</v>
      </c>
      <c r="I363" s="14">
        <v>10</v>
      </c>
      <c r="J363" s="13">
        <f>IF(B363="","",SUMIF(Bieu04A_12thang!$B:$B,B363,Bieu04A_12thang!$O:$O))</f>
        <v>5919</v>
      </c>
      <c r="K363" s="23"/>
      <c r="L363" s="13">
        <f>IF(B363="","",SUMIF(Bieu04A_12thang!$B:$B,B363,Bieu04A_12thang!$AB:$AB))</f>
        <v>13175694</v>
      </c>
      <c r="M363" s="12"/>
      <c r="N363" s="12"/>
      <c r="O363" s="12"/>
      <c r="P363" s="12"/>
    </row>
    <row r="364" spans="1:16" x14ac:dyDescent="0.3">
      <c r="A364" s="11">
        <v>358</v>
      </c>
      <c r="B364" s="12" t="s">
        <v>557</v>
      </c>
      <c r="C364" s="12" t="s">
        <v>752</v>
      </c>
      <c r="D364" s="12" t="s">
        <v>152</v>
      </c>
      <c r="E364" s="12">
        <v>2</v>
      </c>
      <c r="F364" s="12" t="s">
        <v>101</v>
      </c>
      <c r="G364" s="12" t="s">
        <v>758</v>
      </c>
      <c r="H364" s="12" t="s">
        <v>774</v>
      </c>
      <c r="I364" s="14">
        <v>127</v>
      </c>
      <c r="J364" s="13">
        <f>IF(B364="","",SUMIF(Bieu04A_12thang!$B:$B,B364,Bieu04A_12thang!$O:$O))</f>
        <v>50251</v>
      </c>
      <c r="K364" s="23"/>
      <c r="L364" s="13">
        <f>IF(B364="","",SUMIF(Bieu04A_12thang!$B:$B,B364,Bieu04A_12thang!$AB:$AB))</f>
        <v>111858726</v>
      </c>
      <c r="M364" s="12"/>
      <c r="N364" s="12"/>
      <c r="O364" s="12"/>
      <c r="P364" s="12"/>
    </row>
    <row r="365" spans="1:16" x14ac:dyDescent="0.3">
      <c r="A365" s="11">
        <v>359</v>
      </c>
      <c r="B365" s="12" t="s">
        <v>558</v>
      </c>
      <c r="C365" s="12" t="s">
        <v>752</v>
      </c>
      <c r="D365" s="12" t="s">
        <v>152</v>
      </c>
      <c r="E365" s="12">
        <v>2</v>
      </c>
      <c r="F365" s="12" t="s">
        <v>101</v>
      </c>
      <c r="G365" s="12" t="s">
        <v>757</v>
      </c>
      <c r="H365" s="12" t="s">
        <v>774</v>
      </c>
      <c r="I365" s="14">
        <v>10</v>
      </c>
      <c r="J365" s="13">
        <f>IF(B365="","",SUMIF(Bieu04A_12thang!$B:$B,B365,Bieu04A_12thang!$O:$O))</f>
        <v>2376</v>
      </c>
      <c r="K365" s="23"/>
      <c r="L365" s="13">
        <f>IF(B365="","",SUMIF(Bieu04A_12thang!$B:$B,B365,Bieu04A_12thang!$AB:$AB))</f>
        <v>5288976</v>
      </c>
      <c r="M365" s="12"/>
      <c r="N365" s="12"/>
      <c r="O365" s="12"/>
      <c r="P365" s="12"/>
    </row>
    <row r="366" spans="1:16" x14ac:dyDescent="0.3">
      <c r="A366" s="11">
        <v>360</v>
      </c>
      <c r="B366" s="12" t="s">
        <v>159</v>
      </c>
      <c r="C366" s="12" t="s">
        <v>564</v>
      </c>
      <c r="D366" s="12" t="s">
        <v>154</v>
      </c>
      <c r="E366" s="12">
        <v>2</v>
      </c>
      <c r="F366" s="12" t="s">
        <v>101</v>
      </c>
      <c r="G366" s="12" t="s">
        <v>757</v>
      </c>
      <c r="H366" s="12" t="s">
        <v>774</v>
      </c>
      <c r="I366" s="14">
        <v>10</v>
      </c>
      <c r="J366" s="13">
        <f>IF(B366="","",SUMIF(Bieu04A_12thang!$B:$B,B366,Bieu04A_12thang!$O:$O))</f>
        <v>11793</v>
      </c>
      <c r="K366" s="23"/>
      <c r="L366" s="13">
        <f>IF(B366="","",SUMIF(Bieu04A_12thang!$B:$B,B366,Bieu04A_12thang!$AB:$AB))</f>
        <v>26251218</v>
      </c>
      <c r="M366" s="12"/>
      <c r="N366" s="12"/>
      <c r="O366" s="12"/>
      <c r="P366" s="12"/>
    </row>
    <row r="367" spans="1:16" x14ac:dyDescent="0.3">
      <c r="A367" s="11">
        <v>361</v>
      </c>
      <c r="B367" s="12" t="s">
        <v>198</v>
      </c>
      <c r="C367" s="12" t="s">
        <v>570</v>
      </c>
      <c r="D367" s="12" t="s">
        <v>154</v>
      </c>
      <c r="E367" s="12">
        <v>2</v>
      </c>
      <c r="F367" s="12" t="s">
        <v>101</v>
      </c>
      <c r="G367" s="12" t="s">
        <v>757</v>
      </c>
      <c r="H367" s="12" t="s">
        <v>774</v>
      </c>
      <c r="I367" s="14">
        <v>10</v>
      </c>
      <c r="J367" s="13">
        <f>IF(B367="","",SUMIF(Bieu04A_12thang!$B:$B,B367,Bieu04A_12thang!$O:$O))</f>
        <v>595</v>
      </c>
      <c r="K367" s="23"/>
      <c r="L367" s="13">
        <f>IF(B367="","",SUMIF(Bieu04A_12thang!$B:$B,B367,Bieu04A_12thang!$AB:$AB))</f>
        <v>1324470</v>
      </c>
      <c r="M367" s="12"/>
      <c r="N367" s="12"/>
      <c r="O367" s="12"/>
      <c r="P367" s="12"/>
    </row>
    <row r="368" spans="1:16" x14ac:dyDescent="0.3">
      <c r="A368" s="11">
        <v>362</v>
      </c>
      <c r="B368" s="12" t="s">
        <v>206</v>
      </c>
      <c r="C368" s="12" t="s">
        <v>570</v>
      </c>
      <c r="D368" s="12" t="s">
        <v>154</v>
      </c>
      <c r="E368" s="12">
        <v>2</v>
      </c>
      <c r="F368" s="12" t="s">
        <v>101</v>
      </c>
      <c r="G368" s="12" t="s">
        <v>757</v>
      </c>
      <c r="H368" s="12" t="s">
        <v>774</v>
      </c>
      <c r="I368" s="14">
        <v>10</v>
      </c>
      <c r="J368" s="13">
        <f>IF(B368="","",SUMIF(Bieu04A_12thang!$B:$B,B368,Bieu04A_12thang!$O:$O))</f>
        <v>100</v>
      </c>
      <c r="K368" s="23"/>
      <c r="L368" s="13">
        <f>IF(B368="","",SUMIF(Bieu04A_12thang!$B:$B,B368,Bieu04A_12thang!$AB:$AB))</f>
        <v>222600</v>
      </c>
      <c r="M368" s="12"/>
      <c r="N368" s="12"/>
      <c r="O368" s="12"/>
      <c r="P368" s="12"/>
    </row>
    <row r="369" spans="1:16" x14ac:dyDescent="0.3">
      <c r="A369" s="11">
        <v>363</v>
      </c>
      <c r="B369" s="12" t="s">
        <v>226</v>
      </c>
      <c r="C369" s="12" t="s">
        <v>574</v>
      </c>
      <c r="D369" s="12" t="s">
        <v>154</v>
      </c>
      <c r="E369" s="12">
        <v>2</v>
      </c>
      <c r="F369" s="12" t="s">
        <v>101</v>
      </c>
      <c r="G369" s="12" t="s">
        <v>757</v>
      </c>
      <c r="H369" s="12" t="s">
        <v>774</v>
      </c>
      <c r="I369" s="14">
        <v>10</v>
      </c>
      <c r="J369" s="13">
        <f>IF(B369="","",SUMIF(Bieu04A_12thang!$B:$B,B369,Bieu04A_12thang!$O:$O))</f>
        <v>32689</v>
      </c>
      <c r="K369" s="23"/>
      <c r="L369" s="13">
        <f>IF(B369="","",SUMIF(Bieu04A_12thang!$B:$B,B369,Bieu04A_12thang!$AB:$AB))</f>
        <v>72765714</v>
      </c>
      <c r="M369" s="12"/>
      <c r="N369" s="12"/>
      <c r="O369" s="12"/>
      <c r="P369" s="12"/>
    </row>
    <row r="370" spans="1:16" x14ac:dyDescent="0.3">
      <c r="A370" s="11">
        <v>364</v>
      </c>
      <c r="B370" s="12" t="s">
        <v>227</v>
      </c>
      <c r="C370" s="12" t="s">
        <v>575</v>
      </c>
      <c r="D370" s="12" t="s">
        <v>154</v>
      </c>
      <c r="E370" s="12">
        <v>2</v>
      </c>
      <c r="F370" s="12" t="s">
        <v>101</v>
      </c>
      <c r="G370" s="12" t="s">
        <v>757</v>
      </c>
      <c r="H370" s="12" t="s">
        <v>774</v>
      </c>
      <c r="I370" s="14">
        <v>10</v>
      </c>
      <c r="J370" s="13">
        <f>IF(B370="","",SUMIF(Bieu04A_12thang!$B:$B,B370,Bieu04A_12thang!$O:$O))</f>
        <v>4689</v>
      </c>
      <c r="K370" s="23"/>
      <c r="L370" s="13">
        <f>IF(B370="","",SUMIF(Bieu04A_12thang!$B:$B,B370,Bieu04A_12thang!$AB:$AB))</f>
        <v>10437714</v>
      </c>
      <c r="M370" s="12"/>
      <c r="N370" s="12"/>
      <c r="O370" s="12"/>
      <c r="P370" s="12"/>
    </row>
    <row r="371" spans="1:16" x14ac:dyDescent="0.3">
      <c r="A371" s="11">
        <v>365</v>
      </c>
      <c r="B371" s="12" t="s">
        <v>232</v>
      </c>
      <c r="C371" s="12" t="s">
        <v>579</v>
      </c>
      <c r="D371" s="12" t="s">
        <v>154</v>
      </c>
      <c r="E371" s="12">
        <v>2</v>
      </c>
      <c r="F371" s="12" t="s">
        <v>101</v>
      </c>
      <c r="G371" s="12" t="s">
        <v>758</v>
      </c>
      <c r="H371" s="12" t="s">
        <v>775</v>
      </c>
      <c r="I371" s="14">
        <v>127</v>
      </c>
      <c r="J371" s="13">
        <f>IF(B371="","",SUMIF(Bieu04A_12thang!$B:$B,B371,Bieu04A_12thang!$O:$O))</f>
        <v>860218</v>
      </c>
      <c r="K371" s="23"/>
      <c r="L371" s="13">
        <f>IF(B371="","",SUMIF(Bieu04A_12thang!$B:$B,B371,Bieu04A_12thang!$AB:$AB))</f>
        <v>1668822920</v>
      </c>
      <c r="M371" s="12"/>
      <c r="N371" s="12"/>
      <c r="O371" s="12"/>
      <c r="P371" s="12"/>
    </row>
    <row r="372" spans="1:16" x14ac:dyDescent="0.3">
      <c r="A372" s="11">
        <v>366</v>
      </c>
      <c r="B372" s="12" t="s">
        <v>283</v>
      </c>
      <c r="C372" s="12" t="s">
        <v>595</v>
      </c>
      <c r="D372" s="12" t="s">
        <v>154</v>
      </c>
      <c r="E372" s="12">
        <v>2</v>
      </c>
      <c r="F372" s="12" t="s">
        <v>101</v>
      </c>
      <c r="G372" s="12" t="s">
        <v>758</v>
      </c>
      <c r="H372" s="12" t="s">
        <v>774</v>
      </c>
      <c r="I372" s="14">
        <v>127</v>
      </c>
      <c r="J372" s="13">
        <f>IF(B372="","",SUMIF(Bieu04A_12thang!$B:$B,B372,Bieu04A_12thang!$O:$O))</f>
        <v>60707</v>
      </c>
      <c r="K372" s="23"/>
      <c r="L372" s="13">
        <f>IF(B372="","",SUMIF(Bieu04A_12thang!$B:$B,B372,Bieu04A_12thang!$AB:$AB))</f>
        <v>135133782</v>
      </c>
      <c r="M372" s="12"/>
      <c r="N372" s="12"/>
      <c r="O372" s="12"/>
      <c r="P372" s="12"/>
    </row>
    <row r="373" spans="1:16" x14ac:dyDescent="0.3">
      <c r="A373" s="11">
        <v>367</v>
      </c>
      <c r="B373" s="12" t="s">
        <v>284</v>
      </c>
      <c r="C373" s="12" t="s">
        <v>595</v>
      </c>
      <c r="D373" s="12" t="s">
        <v>154</v>
      </c>
      <c r="E373" s="12">
        <v>2</v>
      </c>
      <c r="F373" s="12" t="s">
        <v>101</v>
      </c>
      <c r="G373" s="12" t="s">
        <v>758</v>
      </c>
      <c r="H373" s="12" t="s">
        <v>774</v>
      </c>
      <c r="I373" s="14">
        <v>127</v>
      </c>
      <c r="J373" s="13">
        <f>IF(B373="","",SUMIF(Bieu04A_12thang!$B:$B,B373,Bieu04A_12thang!$O:$O))</f>
        <v>522155</v>
      </c>
      <c r="K373" s="23"/>
      <c r="L373" s="13">
        <f>IF(B373="","",SUMIF(Bieu04A_12thang!$B:$B,B373,Bieu04A_12thang!$AB:$AB))</f>
        <v>1162317030</v>
      </c>
      <c r="M373" s="12"/>
      <c r="N373" s="12"/>
      <c r="O373" s="12"/>
      <c r="P373" s="12"/>
    </row>
    <row r="374" spans="1:16" x14ac:dyDescent="0.3">
      <c r="A374" s="11">
        <v>368</v>
      </c>
      <c r="B374" s="12" t="s">
        <v>285</v>
      </c>
      <c r="C374" s="12" t="s">
        <v>596</v>
      </c>
      <c r="D374" s="12" t="s">
        <v>154</v>
      </c>
      <c r="E374" s="12">
        <v>2</v>
      </c>
      <c r="F374" s="12" t="s">
        <v>101</v>
      </c>
      <c r="G374" s="12" t="s">
        <v>758</v>
      </c>
      <c r="H374" s="12" t="s">
        <v>774</v>
      </c>
      <c r="I374" s="14">
        <v>127</v>
      </c>
      <c r="J374" s="13">
        <f>IF(B374="","",SUMIF(Bieu04A_12thang!$B:$B,B374,Bieu04A_12thang!$O:$O))</f>
        <v>259780</v>
      </c>
      <c r="K374" s="23"/>
      <c r="L374" s="13">
        <f>IF(B374="","",SUMIF(Bieu04A_12thang!$B:$B,B374,Bieu04A_12thang!$AB:$AB))</f>
        <v>578270280</v>
      </c>
      <c r="M374" s="12"/>
      <c r="N374" s="12"/>
      <c r="O374" s="12"/>
      <c r="P374" s="12"/>
    </row>
    <row r="375" spans="1:16" x14ac:dyDescent="0.3">
      <c r="A375" s="11">
        <v>369</v>
      </c>
      <c r="B375" s="12" t="s">
        <v>286</v>
      </c>
      <c r="C375" s="12" t="s">
        <v>595</v>
      </c>
      <c r="D375" s="12" t="s">
        <v>154</v>
      </c>
      <c r="E375" s="12">
        <v>2</v>
      </c>
      <c r="F375" s="12" t="s">
        <v>101</v>
      </c>
      <c r="G375" s="12" t="s">
        <v>758</v>
      </c>
      <c r="H375" s="12" t="s">
        <v>774</v>
      </c>
      <c r="I375" s="14">
        <v>127</v>
      </c>
      <c r="J375" s="13">
        <f>IF(B375="","",SUMIF(Bieu04A_12thang!$B:$B,B375,Bieu04A_12thang!$O:$O))</f>
        <v>697906</v>
      </c>
      <c r="K375" s="23"/>
      <c r="L375" s="13">
        <f>IF(B375="","",SUMIF(Bieu04A_12thang!$B:$B,B375,Bieu04A_12thang!$AB:$AB))</f>
        <v>1553538756</v>
      </c>
      <c r="M375" s="12"/>
      <c r="N375" s="12"/>
      <c r="O375" s="12"/>
      <c r="P375" s="12"/>
    </row>
    <row r="376" spans="1:16" x14ac:dyDescent="0.3">
      <c r="A376" s="11">
        <v>370</v>
      </c>
      <c r="B376" s="12" t="s">
        <v>287</v>
      </c>
      <c r="C376" s="12" t="s">
        <v>595</v>
      </c>
      <c r="D376" s="12" t="s">
        <v>154</v>
      </c>
      <c r="E376" s="12">
        <v>2</v>
      </c>
      <c r="F376" s="12" t="s">
        <v>101</v>
      </c>
      <c r="G376" s="12" t="s">
        <v>758</v>
      </c>
      <c r="H376" s="12" t="s">
        <v>774</v>
      </c>
      <c r="I376" s="14">
        <v>127</v>
      </c>
      <c r="J376" s="13">
        <f>IF(B376="","",SUMIF(Bieu04A_12thang!$B:$B,B376,Bieu04A_12thang!$O:$O))</f>
        <v>887402</v>
      </c>
      <c r="K376" s="23"/>
      <c r="L376" s="13">
        <f>IF(B376="","",SUMIF(Bieu04A_12thang!$B:$B,B376,Bieu04A_12thang!$AB:$AB))</f>
        <v>1975356852</v>
      </c>
      <c r="M376" s="12"/>
      <c r="N376" s="12"/>
      <c r="O376" s="12"/>
      <c r="P376" s="12"/>
    </row>
    <row r="377" spans="1:16" x14ac:dyDescent="0.3">
      <c r="A377" s="11">
        <v>371</v>
      </c>
      <c r="B377" s="12" t="s">
        <v>289</v>
      </c>
      <c r="C377" s="12" t="s">
        <v>596</v>
      </c>
      <c r="D377" s="12" t="s">
        <v>154</v>
      </c>
      <c r="E377" s="12">
        <v>2</v>
      </c>
      <c r="F377" s="12" t="s">
        <v>101</v>
      </c>
      <c r="G377" s="12" t="s">
        <v>758</v>
      </c>
      <c r="H377" s="12" t="s">
        <v>774</v>
      </c>
      <c r="I377" s="14">
        <v>127</v>
      </c>
      <c r="J377" s="13">
        <f>IF(B377="","",SUMIF(Bieu04A_12thang!$B:$B,B377,Bieu04A_12thang!$O:$O))</f>
        <v>42</v>
      </c>
      <c r="K377" s="23"/>
      <c r="L377" s="13">
        <f>IF(B377="","",SUMIF(Bieu04A_12thang!$B:$B,B377,Bieu04A_12thang!$AB:$AB))</f>
        <v>93492</v>
      </c>
      <c r="M377" s="12"/>
      <c r="N377" s="12"/>
      <c r="O377" s="12"/>
      <c r="P377" s="12"/>
    </row>
    <row r="378" spans="1:16" x14ac:dyDescent="0.3">
      <c r="A378" s="11">
        <v>372</v>
      </c>
      <c r="B378" s="12" t="s">
        <v>290</v>
      </c>
      <c r="C378" s="12" t="s">
        <v>596</v>
      </c>
      <c r="D378" s="12" t="s">
        <v>154</v>
      </c>
      <c r="E378" s="12">
        <v>2</v>
      </c>
      <c r="F378" s="12" t="s">
        <v>101</v>
      </c>
      <c r="G378" s="12" t="s">
        <v>758</v>
      </c>
      <c r="H378" s="12" t="s">
        <v>774</v>
      </c>
      <c r="I378" s="14">
        <v>127</v>
      </c>
      <c r="J378" s="13">
        <f>IF(B378="","",SUMIF(Bieu04A_12thang!$B:$B,B378,Bieu04A_12thang!$O:$O))</f>
        <v>44542</v>
      </c>
      <c r="K378" s="23"/>
      <c r="L378" s="13">
        <f>IF(B378="","",SUMIF(Bieu04A_12thang!$B:$B,B378,Bieu04A_12thang!$AB:$AB))</f>
        <v>99150492</v>
      </c>
      <c r="M378" s="12"/>
      <c r="N378" s="12"/>
      <c r="O378" s="12"/>
      <c r="P378" s="12"/>
    </row>
    <row r="379" spans="1:16" x14ac:dyDescent="0.3">
      <c r="A379" s="11">
        <v>373</v>
      </c>
      <c r="B379" s="12" t="s">
        <v>292</v>
      </c>
      <c r="C379" s="12" t="s">
        <v>598</v>
      </c>
      <c r="D379" s="12" t="s">
        <v>154</v>
      </c>
      <c r="E379" s="12">
        <v>2</v>
      </c>
      <c r="F379" s="12" t="s">
        <v>101</v>
      </c>
      <c r="G379" s="12" t="s">
        <v>758</v>
      </c>
      <c r="H379" s="12" t="s">
        <v>774</v>
      </c>
      <c r="I379" s="14">
        <v>127</v>
      </c>
      <c r="J379" s="13">
        <f>IF(B379="","",SUMIF(Bieu04A_12thang!$B:$B,B379,Bieu04A_12thang!$O:$O))</f>
        <v>148865</v>
      </c>
      <c r="K379" s="23"/>
      <c r="L379" s="13">
        <f>IF(B379="","",SUMIF(Bieu04A_12thang!$B:$B,B379,Bieu04A_12thang!$AB:$AB))</f>
        <v>331373490</v>
      </c>
      <c r="M379" s="12"/>
      <c r="N379" s="12"/>
      <c r="O379" s="12"/>
      <c r="P379" s="12"/>
    </row>
    <row r="380" spans="1:16" x14ac:dyDescent="0.3">
      <c r="A380" s="11">
        <v>374</v>
      </c>
      <c r="B380" s="12" t="s">
        <v>293</v>
      </c>
      <c r="C380" s="12" t="s">
        <v>599</v>
      </c>
      <c r="D380" s="12" t="s">
        <v>154</v>
      </c>
      <c r="E380" s="12">
        <v>2</v>
      </c>
      <c r="F380" s="12" t="s">
        <v>101</v>
      </c>
      <c r="G380" s="12" t="s">
        <v>758</v>
      </c>
      <c r="H380" s="12" t="s">
        <v>774</v>
      </c>
      <c r="I380" s="14">
        <v>127</v>
      </c>
      <c r="J380" s="13">
        <f>IF(B380="","",SUMIF(Bieu04A_12thang!$B:$B,B380,Bieu04A_12thang!$O:$O))</f>
        <v>617359</v>
      </c>
      <c r="K380" s="23"/>
      <c r="L380" s="13">
        <f>IF(B380="","",SUMIF(Bieu04A_12thang!$B:$B,B380,Bieu04A_12thang!$AB:$AB))</f>
        <v>1374241134</v>
      </c>
      <c r="M380" s="12"/>
      <c r="N380" s="12"/>
      <c r="O380" s="12"/>
      <c r="P380" s="12"/>
    </row>
    <row r="381" spans="1:16" x14ac:dyDescent="0.3">
      <c r="A381" s="11">
        <v>375</v>
      </c>
      <c r="B381" s="12" t="s">
        <v>301</v>
      </c>
      <c r="C381" s="12" t="s">
        <v>607</v>
      </c>
      <c r="D381" s="12" t="s">
        <v>154</v>
      </c>
      <c r="E381" s="12">
        <v>1</v>
      </c>
      <c r="F381" s="12" t="s">
        <v>101</v>
      </c>
      <c r="G381" s="12" t="s">
        <v>757</v>
      </c>
      <c r="H381" s="12" t="s">
        <v>774</v>
      </c>
      <c r="I381" s="14">
        <v>10</v>
      </c>
      <c r="J381" s="13">
        <f>IF(B381="","",SUMIF(Bieu04A_12thang!$B:$B,B381,Bieu04A_12thang!$O:$O))</f>
        <v>6172</v>
      </c>
      <c r="K381" s="23"/>
      <c r="L381" s="13">
        <f>IF(B381="","",SUMIF(Bieu04A_12thang!$B:$B,B381,Bieu04A_12thang!$AB:$AB))</f>
        <v>12788384</v>
      </c>
      <c r="M381" s="12"/>
      <c r="N381" s="12"/>
      <c r="O381" s="12"/>
      <c r="P381" s="12"/>
    </row>
    <row r="382" spans="1:16" x14ac:dyDescent="0.3">
      <c r="A382" s="11">
        <v>376</v>
      </c>
      <c r="B382" s="12" t="s">
        <v>309</v>
      </c>
      <c r="C382" s="12" t="s">
        <v>614</v>
      </c>
      <c r="D382" s="12" t="s">
        <v>154</v>
      </c>
      <c r="E382" s="12">
        <v>1</v>
      </c>
      <c r="F382" s="12" t="s">
        <v>101</v>
      </c>
      <c r="G382" s="12" t="s">
        <v>757</v>
      </c>
      <c r="H382" s="12" t="s">
        <v>774</v>
      </c>
      <c r="I382" s="14">
        <v>10</v>
      </c>
      <c r="J382" s="13">
        <f>IF(B382="","",SUMIF(Bieu04A_12thang!$B:$B,B382,Bieu04A_12thang!$O:$O))</f>
        <v>6744</v>
      </c>
      <c r="K382" s="23"/>
      <c r="L382" s="13">
        <f>IF(B382="","",SUMIF(Bieu04A_12thang!$B:$B,B382,Bieu04A_12thang!$AB:$AB))</f>
        <v>13973568</v>
      </c>
      <c r="M382" s="12"/>
      <c r="N382" s="12"/>
      <c r="O382" s="12"/>
      <c r="P382" s="12"/>
    </row>
    <row r="383" spans="1:16" x14ac:dyDescent="0.3">
      <c r="A383" s="11">
        <v>377</v>
      </c>
      <c r="B383" s="12" t="s">
        <v>341</v>
      </c>
      <c r="C383" s="12" t="s">
        <v>624</v>
      </c>
      <c r="D383" s="12" t="s">
        <v>154</v>
      </c>
      <c r="E383" s="12">
        <v>2</v>
      </c>
      <c r="F383" s="12" t="s">
        <v>101</v>
      </c>
      <c r="G383" s="12" t="s">
        <v>757</v>
      </c>
      <c r="H383" s="12" t="s">
        <v>774</v>
      </c>
      <c r="I383" s="14">
        <v>10</v>
      </c>
      <c r="J383" s="13">
        <f>IF(B383="","",SUMIF(Bieu04A_12thang!$B:$B,B383,Bieu04A_12thang!$O:$O))</f>
        <v>4945</v>
      </c>
      <c r="K383" s="23"/>
      <c r="L383" s="13">
        <f>IF(B383="","",SUMIF(Bieu04A_12thang!$B:$B,B383,Bieu04A_12thang!$AB:$AB))</f>
        <v>11007570</v>
      </c>
      <c r="M383" s="12"/>
      <c r="N383" s="12"/>
      <c r="O383" s="12"/>
      <c r="P383" s="12"/>
    </row>
    <row r="384" spans="1:16" x14ac:dyDescent="0.3">
      <c r="A384" s="11">
        <v>378</v>
      </c>
      <c r="B384" s="12" t="s">
        <v>347</v>
      </c>
      <c r="C384" s="12" t="s">
        <v>628</v>
      </c>
      <c r="D384" s="12" t="s">
        <v>154</v>
      </c>
      <c r="E384" s="12">
        <v>2</v>
      </c>
      <c r="F384" s="12" t="s">
        <v>101</v>
      </c>
      <c r="G384" s="12" t="s">
        <v>757</v>
      </c>
      <c r="H384" s="12" t="s">
        <v>774</v>
      </c>
      <c r="I384" s="14">
        <v>10</v>
      </c>
      <c r="J384" s="13">
        <f>IF(B384="","",SUMIF(Bieu04A_12thang!$B:$B,B384,Bieu04A_12thang!$O:$O))</f>
        <v>6310</v>
      </c>
      <c r="K384" s="23"/>
      <c r="L384" s="13">
        <f>IF(B384="","",SUMIF(Bieu04A_12thang!$B:$B,B384,Bieu04A_12thang!$AB:$AB))</f>
        <v>14046060</v>
      </c>
      <c r="M384" s="12"/>
      <c r="N384" s="12"/>
      <c r="O384" s="12"/>
      <c r="P384" s="12"/>
    </row>
    <row r="385" spans="1:16" x14ac:dyDescent="0.3">
      <c r="A385" s="11">
        <v>379</v>
      </c>
      <c r="B385" s="12" t="s">
        <v>364</v>
      </c>
      <c r="C385" s="12" t="s">
        <v>643</v>
      </c>
      <c r="D385" s="12" t="s">
        <v>154</v>
      </c>
      <c r="E385" s="12">
        <v>1</v>
      </c>
      <c r="F385" s="12" t="s">
        <v>101</v>
      </c>
      <c r="G385" s="12" t="s">
        <v>757</v>
      </c>
      <c r="H385" s="12" t="s">
        <v>774</v>
      </c>
      <c r="I385" s="14">
        <v>10</v>
      </c>
      <c r="J385" s="13">
        <f>IF(B385="","",SUMIF(Bieu04A_12thang!$B:$B,B385,Bieu04A_12thang!$O:$O))</f>
        <v>20757</v>
      </c>
      <c r="K385" s="23"/>
      <c r="L385" s="13">
        <f>IF(B385="","",SUMIF(Bieu04A_12thang!$B:$B,B385,Bieu04A_12thang!$AB:$AB))</f>
        <v>43008504</v>
      </c>
      <c r="M385" s="12"/>
      <c r="N385" s="12"/>
      <c r="O385" s="12"/>
      <c r="P385" s="12"/>
    </row>
    <row r="386" spans="1:16" x14ac:dyDescent="0.3">
      <c r="A386" s="11">
        <v>380</v>
      </c>
      <c r="B386" s="12" t="s">
        <v>365</v>
      </c>
      <c r="C386" s="12" t="s">
        <v>643</v>
      </c>
      <c r="D386" s="12" t="s">
        <v>154</v>
      </c>
      <c r="E386" s="12">
        <v>1</v>
      </c>
      <c r="F386" s="12" t="s">
        <v>101</v>
      </c>
      <c r="G386" s="12" t="s">
        <v>757</v>
      </c>
      <c r="H386" s="12" t="s">
        <v>774</v>
      </c>
      <c r="I386" s="14">
        <v>10</v>
      </c>
      <c r="J386" s="13">
        <f>IF(B386="","",SUMIF(Bieu04A_12thang!$B:$B,B386,Bieu04A_12thang!$O:$O))</f>
        <v>4890</v>
      </c>
      <c r="K386" s="23"/>
      <c r="L386" s="13">
        <f>IF(B386="","",SUMIF(Bieu04A_12thang!$B:$B,B386,Bieu04A_12thang!$AB:$AB))</f>
        <v>10132080</v>
      </c>
      <c r="M386" s="12"/>
      <c r="N386" s="12"/>
      <c r="O386" s="12"/>
      <c r="P386" s="12"/>
    </row>
    <row r="387" spans="1:16" x14ac:dyDescent="0.3">
      <c r="A387" s="11">
        <v>381</v>
      </c>
      <c r="B387" s="12" t="s">
        <v>366</v>
      </c>
      <c r="C387" s="12" t="s">
        <v>643</v>
      </c>
      <c r="D387" s="12" t="s">
        <v>154</v>
      </c>
      <c r="E387" s="12">
        <v>1</v>
      </c>
      <c r="F387" s="12" t="s">
        <v>101</v>
      </c>
      <c r="G387" s="12" t="s">
        <v>757</v>
      </c>
      <c r="H387" s="12" t="s">
        <v>774</v>
      </c>
      <c r="I387" s="14">
        <v>10</v>
      </c>
      <c r="J387" s="13">
        <f>IF(B387="","",SUMIF(Bieu04A_12thang!$B:$B,B387,Bieu04A_12thang!$O:$O))</f>
        <v>2388</v>
      </c>
      <c r="K387" s="23"/>
      <c r="L387" s="13">
        <f>IF(B387="","",SUMIF(Bieu04A_12thang!$B:$B,B387,Bieu04A_12thang!$AB:$AB))</f>
        <v>4947936</v>
      </c>
      <c r="M387" s="12"/>
      <c r="N387" s="12"/>
      <c r="O387" s="12"/>
      <c r="P387" s="12"/>
    </row>
    <row r="388" spans="1:16" x14ac:dyDescent="0.3">
      <c r="A388" s="11">
        <v>382</v>
      </c>
      <c r="B388" s="12" t="s">
        <v>394</v>
      </c>
      <c r="C388" s="12" t="s">
        <v>664</v>
      </c>
      <c r="D388" s="12" t="s">
        <v>154</v>
      </c>
      <c r="E388" s="12">
        <v>1</v>
      </c>
      <c r="F388" s="12" t="s">
        <v>101</v>
      </c>
      <c r="G388" s="12" t="s">
        <v>758</v>
      </c>
      <c r="H388" s="12" t="s">
        <v>774</v>
      </c>
      <c r="I388" s="14">
        <v>127</v>
      </c>
      <c r="J388" s="13">
        <f>IF(B388="","",SUMIF(Bieu04A_12thang!$B:$B,B388,Bieu04A_12thang!$O:$O))</f>
        <v>9804</v>
      </c>
      <c r="K388" s="23"/>
      <c r="L388" s="13">
        <f>IF(B388="","",SUMIF(Bieu04A_12thang!$B:$B,B388,Bieu04A_12thang!$AB:$AB))</f>
        <v>20313888</v>
      </c>
      <c r="M388" s="12"/>
      <c r="N388" s="12"/>
      <c r="O388" s="12"/>
      <c r="P388" s="12"/>
    </row>
    <row r="389" spans="1:16" x14ac:dyDescent="0.3">
      <c r="A389" s="11">
        <v>383</v>
      </c>
      <c r="B389" s="12" t="s">
        <v>395</v>
      </c>
      <c r="C389" s="12" t="s">
        <v>664</v>
      </c>
      <c r="D389" s="12" t="s">
        <v>154</v>
      </c>
      <c r="E389" s="12">
        <v>1</v>
      </c>
      <c r="F389" s="12" t="s">
        <v>101</v>
      </c>
      <c r="G389" s="12" t="s">
        <v>757</v>
      </c>
      <c r="H389" s="12" t="s">
        <v>774</v>
      </c>
      <c r="I389" s="14">
        <v>10</v>
      </c>
      <c r="J389" s="13">
        <f>IF(B389="","",SUMIF(Bieu04A_12thang!$B:$B,B389,Bieu04A_12thang!$O:$O))</f>
        <v>10218</v>
      </c>
      <c r="K389" s="23"/>
      <c r="L389" s="13">
        <f>IF(B389="","",SUMIF(Bieu04A_12thang!$B:$B,B389,Bieu04A_12thang!$AB:$AB))</f>
        <v>21171696</v>
      </c>
      <c r="M389" s="12"/>
      <c r="N389" s="12"/>
      <c r="O389" s="12"/>
      <c r="P389" s="12"/>
    </row>
    <row r="390" spans="1:16" x14ac:dyDescent="0.3">
      <c r="A390" s="11">
        <v>384</v>
      </c>
      <c r="B390" s="12" t="s">
        <v>396</v>
      </c>
      <c r="C390" s="12" t="s">
        <v>664</v>
      </c>
      <c r="D390" s="12" t="s">
        <v>154</v>
      </c>
      <c r="E390" s="12">
        <v>1</v>
      </c>
      <c r="F390" s="12" t="s">
        <v>101</v>
      </c>
      <c r="G390" s="12" t="s">
        <v>758</v>
      </c>
      <c r="H390" s="12" t="s">
        <v>774</v>
      </c>
      <c r="I390" s="14">
        <v>127</v>
      </c>
      <c r="J390" s="13">
        <f>IF(B390="","",SUMIF(Bieu04A_12thang!$B:$B,B390,Bieu04A_12thang!$O:$O))</f>
        <v>11428</v>
      </c>
      <c r="K390" s="23"/>
      <c r="L390" s="13">
        <f>IF(B390="","",SUMIF(Bieu04A_12thang!$B:$B,B390,Bieu04A_12thang!$AB:$AB))</f>
        <v>23678816</v>
      </c>
      <c r="M390" s="12"/>
      <c r="N390" s="12"/>
      <c r="O390" s="12"/>
      <c r="P390" s="12"/>
    </row>
    <row r="391" spans="1:16" x14ac:dyDescent="0.3">
      <c r="A391" s="11">
        <v>385</v>
      </c>
      <c r="B391" s="12" t="s">
        <v>432</v>
      </c>
      <c r="C391" s="12" t="s">
        <v>694</v>
      </c>
      <c r="D391" s="12" t="s">
        <v>154</v>
      </c>
      <c r="E391" s="12">
        <v>1</v>
      </c>
      <c r="F391" s="12" t="s">
        <v>101</v>
      </c>
      <c r="G391" s="12" t="s">
        <v>758</v>
      </c>
      <c r="H391" s="12" t="s">
        <v>774</v>
      </c>
      <c r="I391" s="14">
        <v>127</v>
      </c>
      <c r="J391" s="13">
        <f>IF(B391="","",SUMIF(Bieu04A_12thang!$B:$B,B391,Bieu04A_12thang!$O:$O))</f>
        <v>21896</v>
      </c>
      <c r="K391" s="23"/>
      <c r="L391" s="13">
        <f>IF(B391="","",SUMIF(Bieu04A_12thang!$B:$B,B391,Bieu04A_12thang!$AB:$AB))</f>
        <v>45368512</v>
      </c>
      <c r="M391" s="12"/>
      <c r="N391" s="12"/>
      <c r="O391" s="12"/>
      <c r="P391" s="12"/>
    </row>
    <row r="392" spans="1:16" x14ac:dyDescent="0.3">
      <c r="A392" s="11">
        <v>386</v>
      </c>
      <c r="B392" s="12" t="s">
        <v>440</v>
      </c>
      <c r="C392" s="12" t="s">
        <v>698</v>
      </c>
      <c r="D392" s="12" t="s">
        <v>154</v>
      </c>
      <c r="E392" s="12">
        <v>1</v>
      </c>
      <c r="F392" s="12" t="s">
        <v>101</v>
      </c>
      <c r="G392" s="12" t="s">
        <v>757</v>
      </c>
      <c r="H392" s="12" t="s">
        <v>774</v>
      </c>
      <c r="I392" s="14">
        <v>10</v>
      </c>
      <c r="J392" s="13">
        <f>IF(B392="","",SUMIF(Bieu04A_12thang!$B:$B,B392,Bieu04A_12thang!$O:$O))</f>
        <v>4536</v>
      </c>
      <c r="K392" s="23"/>
      <c r="L392" s="13">
        <f>IF(B392="","",SUMIF(Bieu04A_12thang!$B:$B,B392,Bieu04A_12thang!$AB:$AB))</f>
        <v>9398592</v>
      </c>
      <c r="M392" s="12"/>
      <c r="N392" s="12"/>
      <c r="O392" s="12"/>
      <c r="P392" s="12"/>
    </row>
    <row r="393" spans="1:16" x14ac:dyDescent="0.3">
      <c r="A393" s="11">
        <v>387</v>
      </c>
      <c r="B393" s="12" t="s">
        <v>441</v>
      </c>
      <c r="C393" s="12" t="s">
        <v>698</v>
      </c>
      <c r="D393" s="12" t="s">
        <v>154</v>
      </c>
      <c r="E393" s="12">
        <v>1</v>
      </c>
      <c r="F393" s="12" t="s">
        <v>101</v>
      </c>
      <c r="G393" s="12" t="s">
        <v>757</v>
      </c>
      <c r="H393" s="12" t="s">
        <v>774</v>
      </c>
      <c r="I393" s="14">
        <v>10</v>
      </c>
      <c r="J393" s="13">
        <f>IF(B393="","",SUMIF(Bieu04A_12thang!$B:$B,B393,Bieu04A_12thang!$O:$O))</f>
        <v>4460</v>
      </c>
      <c r="K393" s="23"/>
      <c r="L393" s="13">
        <f>IF(B393="","",SUMIF(Bieu04A_12thang!$B:$B,B393,Bieu04A_12thang!$AB:$AB))</f>
        <v>9241120</v>
      </c>
      <c r="M393" s="12"/>
      <c r="N393" s="12"/>
      <c r="O393" s="12"/>
      <c r="P393" s="12"/>
    </row>
    <row r="394" spans="1:16" x14ac:dyDescent="0.3">
      <c r="A394" s="11">
        <v>388</v>
      </c>
      <c r="B394" s="12" t="s">
        <v>442</v>
      </c>
      <c r="C394" s="12" t="s">
        <v>698</v>
      </c>
      <c r="D394" s="12" t="s">
        <v>154</v>
      </c>
      <c r="E394" s="12">
        <v>1</v>
      </c>
      <c r="F394" s="12" t="s">
        <v>101</v>
      </c>
      <c r="G394" s="12" t="s">
        <v>758</v>
      </c>
      <c r="H394" s="12" t="s">
        <v>774</v>
      </c>
      <c r="I394" s="14">
        <v>127</v>
      </c>
      <c r="J394" s="13">
        <f>IF(B394="","",SUMIF(Bieu04A_12thang!$B:$B,B394,Bieu04A_12thang!$O:$O))</f>
        <v>18080</v>
      </c>
      <c r="K394" s="23"/>
      <c r="L394" s="13">
        <f>IF(B394="","",SUMIF(Bieu04A_12thang!$B:$B,B394,Bieu04A_12thang!$AB:$AB))</f>
        <v>37461760</v>
      </c>
      <c r="M394" s="12"/>
      <c r="N394" s="12"/>
      <c r="O394" s="12"/>
      <c r="P394" s="12"/>
    </row>
    <row r="395" spans="1:16" x14ac:dyDescent="0.3">
      <c r="A395" s="11">
        <v>389</v>
      </c>
      <c r="B395" s="12" t="s">
        <v>443</v>
      </c>
      <c r="C395" s="12" t="s">
        <v>698</v>
      </c>
      <c r="D395" s="12" t="s">
        <v>154</v>
      </c>
      <c r="E395" s="12">
        <v>1</v>
      </c>
      <c r="F395" s="12" t="s">
        <v>101</v>
      </c>
      <c r="G395" s="12" t="s">
        <v>758</v>
      </c>
      <c r="H395" s="12" t="s">
        <v>774</v>
      </c>
      <c r="I395" s="14">
        <v>127</v>
      </c>
      <c r="J395" s="13">
        <f>IF(B395="","",SUMIF(Bieu04A_12thang!$B:$B,B395,Bieu04A_12thang!$O:$O))</f>
        <v>12350</v>
      </c>
      <c r="K395" s="23"/>
      <c r="L395" s="13">
        <f>IF(B395="","",SUMIF(Bieu04A_12thang!$B:$B,B395,Bieu04A_12thang!$AB:$AB))</f>
        <v>25589200</v>
      </c>
      <c r="M395" s="12"/>
      <c r="N395" s="12"/>
      <c r="O395" s="12"/>
      <c r="P395" s="12"/>
    </row>
    <row r="396" spans="1:16" x14ac:dyDescent="0.3">
      <c r="A396" s="11">
        <v>390</v>
      </c>
      <c r="B396" s="12" t="s">
        <v>448</v>
      </c>
      <c r="C396" s="12" t="s">
        <v>701</v>
      </c>
      <c r="D396" s="12" t="s">
        <v>154</v>
      </c>
      <c r="E396" s="12">
        <v>1</v>
      </c>
      <c r="F396" s="12" t="s">
        <v>101</v>
      </c>
      <c r="G396" s="12" t="s">
        <v>757</v>
      </c>
      <c r="H396" s="12" t="s">
        <v>774</v>
      </c>
      <c r="I396" s="14">
        <v>10</v>
      </c>
      <c r="J396" s="13">
        <f>IF(B396="","",SUMIF(Bieu04A_12thang!$B:$B,B396,Bieu04A_12thang!$O:$O))</f>
        <v>5337</v>
      </c>
      <c r="K396" s="23"/>
      <c r="L396" s="13">
        <f>IF(B396="","",SUMIF(Bieu04A_12thang!$B:$B,B396,Bieu04A_12thang!$AB:$AB))</f>
        <v>11058264</v>
      </c>
      <c r="M396" s="12"/>
      <c r="N396" s="12"/>
      <c r="O396" s="12"/>
      <c r="P396" s="12"/>
    </row>
    <row r="397" spans="1:16" x14ac:dyDescent="0.3">
      <c r="A397" s="11">
        <v>391</v>
      </c>
      <c r="B397" s="12" t="s">
        <v>449</v>
      </c>
      <c r="C397" s="12" t="s">
        <v>701</v>
      </c>
      <c r="D397" s="12" t="s">
        <v>154</v>
      </c>
      <c r="E397" s="12">
        <v>1</v>
      </c>
      <c r="F397" s="12" t="s">
        <v>101</v>
      </c>
      <c r="G397" s="12" t="s">
        <v>758</v>
      </c>
      <c r="H397" s="12" t="s">
        <v>774</v>
      </c>
      <c r="I397" s="14">
        <v>127</v>
      </c>
      <c r="J397" s="13">
        <f>IF(B397="","",SUMIF(Bieu04A_12thang!$B:$B,B397,Bieu04A_12thang!$O:$O))</f>
        <v>15542</v>
      </c>
      <c r="K397" s="23"/>
      <c r="L397" s="13">
        <f>IF(B397="","",SUMIF(Bieu04A_12thang!$B:$B,B397,Bieu04A_12thang!$AB:$AB))</f>
        <v>32203024</v>
      </c>
      <c r="M397" s="12"/>
      <c r="N397" s="12"/>
      <c r="O397" s="12"/>
      <c r="P397" s="12"/>
    </row>
    <row r="398" spans="1:16" x14ac:dyDescent="0.3">
      <c r="A398" s="11">
        <v>392</v>
      </c>
      <c r="B398" s="12" t="s">
        <v>450</v>
      </c>
      <c r="C398" s="12" t="s">
        <v>701</v>
      </c>
      <c r="D398" s="12" t="s">
        <v>154</v>
      </c>
      <c r="E398" s="12">
        <v>1</v>
      </c>
      <c r="F398" s="12" t="s">
        <v>101</v>
      </c>
      <c r="G398" s="12" t="s">
        <v>758</v>
      </c>
      <c r="H398" s="12" t="s">
        <v>774</v>
      </c>
      <c r="I398" s="14">
        <v>127</v>
      </c>
      <c r="J398" s="13">
        <f>IF(B398="","",SUMIF(Bieu04A_12thang!$B:$B,B398,Bieu04A_12thang!$O:$O))</f>
        <v>18076</v>
      </c>
      <c r="K398" s="23"/>
      <c r="L398" s="13">
        <f>IF(B398="","",SUMIF(Bieu04A_12thang!$B:$B,B398,Bieu04A_12thang!$AB:$AB))</f>
        <v>37453472</v>
      </c>
      <c r="M398" s="12"/>
      <c r="N398" s="12"/>
      <c r="O398" s="12"/>
      <c r="P398" s="12"/>
    </row>
    <row r="399" spans="1:16" x14ac:dyDescent="0.3">
      <c r="A399" s="11">
        <v>393</v>
      </c>
      <c r="B399" s="12" t="s">
        <v>451</v>
      </c>
      <c r="C399" s="12" t="s">
        <v>701</v>
      </c>
      <c r="D399" s="12" t="s">
        <v>154</v>
      </c>
      <c r="E399" s="12">
        <v>1</v>
      </c>
      <c r="F399" s="12" t="s">
        <v>101</v>
      </c>
      <c r="G399" s="12" t="s">
        <v>758</v>
      </c>
      <c r="H399" s="12" t="s">
        <v>774</v>
      </c>
      <c r="I399" s="14">
        <v>127</v>
      </c>
      <c r="J399" s="13">
        <f>IF(B399="","",SUMIF(Bieu04A_12thang!$B:$B,B399,Bieu04A_12thang!$O:$O))</f>
        <v>11902</v>
      </c>
      <c r="K399" s="23"/>
      <c r="L399" s="13">
        <f>IF(B399="","",SUMIF(Bieu04A_12thang!$B:$B,B399,Bieu04A_12thang!$AB:$AB))</f>
        <v>24660944</v>
      </c>
      <c r="M399" s="12"/>
      <c r="N399" s="12"/>
      <c r="O399" s="12"/>
      <c r="P399" s="12"/>
    </row>
    <row r="400" spans="1:16" x14ac:dyDescent="0.3">
      <c r="A400" s="11">
        <v>394</v>
      </c>
      <c r="B400" s="12" t="s">
        <v>530</v>
      </c>
      <c r="C400" s="12" t="s">
        <v>739</v>
      </c>
      <c r="D400" s="12" t="s">
        <v>154</v>
      </c>
      <c r="E400" s="12">
        <v>2</v>
      </c>
      <c r="F400" s="12" t="s">
        <v>101</v>
      </c>
      <c r="G400" s="12" t="s">
        <v>757</v>
      </c>
      <c r="H400" s="12" t="s">
        <v>774</v>
      </c>
      <c r="I400" s="14">
        <v>10</v>
      </c>
      <c r="J400" s="13">
        <f>IF(B400="","",SUMIF(Bieu04A_12thang!$B:$B,B400,Bieu04A_12thang!$O:$O))</f>
        <v>5082</v>
      </c>
      <c r="K400" s="23"/>
      <c r="L400" s="13">
        <f>IF(B400="","",SUMIF(Bieu04A_12thang!$B:$B,B400,Bieu04A_12thang!$AB:$AB))</f>
        <v>11312532</v>
      </c>
      <c r="M400" s="12"/>
      <c r="N400" s="12"/>
      <c r="O400" s="12"/>
      <c r="P400" s="12"/>
    </row>
    <row r="401" spans="1:16" x14ac:dyDescent="0.3">
      <c r="A401" s="11">
        <v>395</v>
      </c>
      <c r="B401" s="12" t="s">
        <v>531</v>
      </c>
      <c r="C401" s="12" t="s">
        <v>740</v>
      </c>
      <c r="D401" s="12" t="s">
        <v>154</v>
      </c>
      <c r="E401" s="12">
        <v>2</v>
      </c>
      <c r="F401" s="12" t="s">
        <v>101</v>
      </c>
      <c r="G401" s="12" t="s">
        <v>757</v>
      </c>
      <c r="H401" s="12" t="s">
        <v>774</v>
      </c>
      <c r="I401" s="14">
        <v>10</v>
      </c>
      <c r="J401" s="13">
        <f>IF(B401="","",SUMIF(Bieu04A_12thang!$B:$B,B401,Bieu04A_12thang!$O:$O))</f>
        <v>303</v>
      </c>
      <c r="K401" s="23"/>
      <c r="L401" s="13">
        <f>IF(B401="","",SUMIF(Bieu04A_12thang!$B:$B,B401,Bieu04A_12thang!$AB:$AB))</f>
        <v>674478</v>
      </c>
      <c r="M401" s="12"/>
      <c r="N401" s="12"/>
      <c r="O401" s="12"/>
      <c r="P401" s="12"/>
    </row>
    <row r="402" spans="1:16" x14ac:dyDescent="0.3">
      <c r="A402" s="11">
        <v>396</v>
      </c>
      <c r="B402" s="12" t="s">
        <v>532</v>
      </c>
      <c r="C402" s="12" t="s">
        <v>739</v>
      </c>
      <c r="D402" s="12" t="s">
        <v>154</v>
      </c>
      <c r="E402" s="12">
        <v>2</v>
      </c>
      <c r="F402" s="12" t="s">
        <v>101</v>
      </c>
      <c r="G402" s="12" t="s">
        <v>757</v>
      </c>
      <c r="H402" s="12" t="s">
        <v>774</v>
      </c>
      <c r="I402" s="14">
        <v>10</v>
      </c>
      <c r="J402" s="13">
        <f>IF(B402="","",SUMIF(Bieu04A_12thang!$B:$B,B402,Bieu04A_12thang!$O:$O))</f>
        <v>4749</v>
      </c>
      <c r="K402" s="23"/>
      <c r="L402" s="13">
        <f>IF(B402="","",SUMIF(Bieu04A_12thang!$B:$B,B402,Bieu04A_12thang!$AB:$AB))</f>
        <v>10571274</v>
      </c>
      <c r="M402" s="12"/>
      <c r="N402" s="12"/>
      <c r="O402" s="12"/>
      <c r="P402" s="12"/>
    </row>
    <row r="403" spans="1:16" x14ac:dyDescent="0.3">
      <c r="A403" s="11">
        <v>397</v>
      </c>
      <c r="B403" s="12" t="s">
        <v>533</v>
      </c>
      <c r="C403" s="12" t="s">
        <v>739</v>
      </c>
      <c r="D403" s="12" t="s">
        <v>154</v>
      </c>
      <c r="E403" s="12">
        <v>2</v>
      </c>
      <c r="F403" s="12" t="s">
        <v>101</v>
      </c>
      <c r="G403" s="12" t="s">
        <v>757</v>
      </c>
      <c r="H403" s="12" t="s">
        <v>774</v>
      </c>
      <c r="I403" s="14">
        <v>10</v>
      </c>
      <c r="J403" s="13">
        <f>IF(B403="","",SUMIF(Bieu04A_12thang!$B:$B,B403,Bieu04A_12thang!$O:$O))</f>
        <v>232</v>
      </c>
      <c r="K403" s="23"/>
      <c r="L403" s="13">
        <f>IF(B403="","",SUMIF(Bieu04A_12thang!$B:$B,B403,Bieu04A_12thang!$AB:$AB))</f>
        <v>516432</v>
      </c>
      <c r="M403" s="12"/>
      <c r="N403" s="12"/>
      <c r="O403" s="12"/>
      <c r="P403" s="12"/>
    </row>
    <row r="404" spans="1:16" x14ac:dyDescent="0.3">
      <c r="A404" s="11">
        <v>398</v>
      </c>
      <c r="B404" s="12" t="s">
        <v>534</v>
      </c>
      <c r="C404" s="12" t="s">
        <v>740</v>
      </c>
      <c r="D404" s="12" t="s">
        <v>154</v>
      </c>
      <c r="E404" s="12">
        <v>2</v>
      </c>
      <c r="F404" s="12" t="s">
        <v>101</v>
      </c>
      <c r="G404" s="12" t="s">
        <v>757</v>
      </c>
      <c r="H404" s="12" t="s">
        <v>774</v>
      </c>
      <c r="I404" s="14">
        <v>10</v>
      </c>
      <c r="J404" s="13">
        <f>IF(B404="","",SUMIF(Bieu04A_12thang!$B:$B,B404,Bieu04A_12thang!$O:$O))</f>
        <v>200</v>
      </c>
      <c r="K404" s="23"/>
      <c r="L404" s="13">
        <f>IF(B404="","",SUMIF(Bieu04A_12thang!$B:$B,B404,Bieu04A_12thang!$AB:$AB))</f>
        <v>445200</v>
      </c>
      <c r="M404" s="12"/>
      <c r="N404" s="12"/>
      <c r="O404" s="12"/>
      <c r="P404" s="12"/>
    </row>
    <row r="405" spans="1:16" x14ac:dyDescent="0.3">
      <c r="A405" s="11">
        <v>399</v>
      </c>
      <c r="B405" s="12" t="s">
        <v>535</v>
      </c>
      <c r="C405" s="12" t="s">
        <v>739</v>
      </c>
      <c r="D405" s="12" t="s">
        <v>154</v>
      </c>
      <c r="E405" s="12">
        <v>2</v>
      </c>
      <c r="F405" s="12" t="s">
        <v>101</v>
      </c>
      <c r="G405" s="12" t="s">
        <v>757</v>
      </c>
      <c r="H405" s="12" t="s">
        <v>774</v>
      </c>
      <c r="I405" s="14">
        <v>10</v>
      </c>
      <c r="J405" s="13">
        <f>IF(B405="","",SUMIF(Bieu04A_12thang!$B:$B,B405,Bieu04A_12thang!$O:$O))</f>
        <v>3321</v>
      </c>
      <c r="K405" s="23"/>
      <c r="L405" s="13">
        <f>IF(B405="","",SUMIF(Bieu04A_12thang!$B:$B,B405,Bieu04A_12thang!$AB:$AB))</f>
        <v>7392546</v>
      </c>
      <c r="M405" s="12"/>
      <c r="N405" s="12"/>
      <c r="O405" s="12"/>
      <c r="P405" s="12"/>
    </row>
    <row r="406" spans="1:16" x14ac:dyDescent="0.3">
      <c r="A406" s="11">
        <v>400</v>
      </c>
      <c r="B406" s="12" t="s">
        <v>536</v>
      </c>
      <c r="C406" s="12" t="s">
        <v>739</v>
      </c>
      <c r="D406" s="12" t="s">
        <v>154</v>
      </c>
      <c r="E406" s="12">
        <v>2</v>
      </c>
      <c r="F406" s="12" t="s">
        <v>101</v>
      </c>
      <c r="G406" s="12" t="s">
        <v>757</v>
      </c>
      <c r="H406" s="12" t="s">
        <v>774</v>
      </c>
      <c r="I406" s="14">
        <v>10</v>
      </c>
      <c r="J406" s="13">
        <f>IF(B406="","",SUMIF(Bieu04A_12thang!$B:$B,B406,Bieu04A_12thang!$O:$O))</f>
        <v>516</v>
      </c>
      <c r="K406" s="23"/>
      <c r="L406" s="13">
        <f>IF(B406="","",SUMIF(Bieu04A_12thang!$B:$B,B406,Bieu04A_12thang!$AB:$AB))</f>
        <v>1148616</v>
      </c>
      <c r="M406" s="12"/>
      <c r="N406" s="12"/>
      <c r="O406" s="12"/>
      <c r="P406" s="12"/>
    </row>
    <row r="407" spans="1:16" x14ac:dyDescent="0.3">
      <c r="A407" s="11">
        <v>401</v>
      </c>
      <c r="B407" s="12" t="s">
        <v>537</v>
      </c>
      <c r="C407" s="12" t="s">
        <v>739</v>
      </c>
      <c r="D407" s="12" t="s">
        <v>154</v>
      </c>
      <c r="E407" s="12">
        <v>2</v>
      </c>
      <c r="F407" s="12" t="s">
        <v>101</v>
      </c>
      <c r="G407" s="12" t="s">
        <v>757</v>
      </c>
      <c r="H407" s="12" t="s">
        <v>774</v>
      </c>
      <c r="I407" s="14">
        <v>10</v>
      </c>
      <c r="J407" s="13">
        <f>IF(B407="","",SUMIF(Bieu04A_12thang!$B:$B,B407,Bieu04A_12thang!$O:$O))</f>
        <v>346</v>
      </c>
      <c r="K407" s="23"/>
      <c r="L407" s="13">
        <f>IF(B407="","",SUMIF(Bieu04A_12thang!$B:$B,B407,Bieu04A_12thang!$AB:$AB))</f>
        <v>770196</v>
      </c>
      <c r="M407" s="12"/>
      <c r="N407" s="12"/>
      <c r="O407" s="12"/>
      <c r="P407" s="12"/>
    </row>
    <row r="408" spans="1:16" x14ac:dyDescent="0.3">
      <c r="A408" s="11">
        <v>402</v>
      </c>
      <c r="B408" s="12" t="s">
        <v>538</v>
      </c>
      <c r="C408" s="12" t="s">
        <v>739</v>
      </c>
      <c r="D408" s="12" t="s">
        <v>154</v>
      </c>
      <c r="E408" s="12">
        <v>2</v>
      </c>
      <c r="F408" s="12" t="s">
        <v>101</v>
      </c>
      <c r="G408" s="12" t="s">
        <v>757</v>
      </c>
      <c r="H408" s="12" t="s">
        <v>774</v>
      </c>
      <c r="I408" s="14">
        <v>10</v>
      </c>
      <c r="J408" s="13">
        <f>IF(B408="","",SUMIF(Bieu04A_12thang!$B:$B,B408,Bieu04A_12thang!$O:$O))</f>
        <v>101</v>
      </c>
      <c r="K408" s="23"/>
      <c r="L408" s="13">
        <f>IF(B408="","",SUMIF(Bieu04A_12thang!$B:$B,B408,Bieu04A_12thang!$AB:$AB))</f>
        <v>224826</v>
      </c>
      <c r="M408" s="12"/>
      <c r="N408" s="12"/>
      <c r="O408" s="12"/>
      <c r="P408" s="12"/>
    </row>
    <row r="409" spans="1:16" x14ac:dyDescent="0.3">
      <c r="A409" s="11">
        <v>403</v>
      </c>
      <c r="B409" s="12" t="s">
        <v>539</v>
      </c>
      <c r="C409" s="12" t="s">
        <v>740</v>
      </c>
      <c r="D409" s="12" t="s">
        <v>154</v>
      </c>
      <c r="E409" s="12">
        <v>2</v>
      </c>
      <c r="F409" s="12" t="s">
        <v>101</v>
      </c>
      <c r="G409" s="12" t="s">
        <v>757</v>
      </c>
      <c r="H409" s="12" t="s">
        <v>774</v>
      </c>
      <c r="I409" s="14">
        <v>10</v>
      </c>
      <c r="J409" s="13">
        <f>IF(B409="","",SUMIF(Bieu04A_12thang!$B:$B,B409,Bieu04A_12thang!$O:$O))</f>
        <v>185</v>
      </c>
      <c r="K409" s="23"/>
      <c r="L409" s="13">
        <f>IF(B409="","",SUMIF(Bieu04A_12thang!$B:$B,B409,Bieu04A_12thang!$AB:$AB))</f>
        <v>411810</v>
      </c>
      <c r="M409" s="12"/>
      <c r="N409" s="12"/>
      <c r="O409" s="12"/>
      <c r="P409" s="12"/>
    </row>
    <row r="410" spans="1:16" x14ac:dyDescent="0.3">
      <c r="A410" s="11">
        <v>404</v>
      </c>
      <c r="B410" s="12" t="s">
        <v>540</v>
      </c>
      <c r="C410" s="12" t="s">
        <v>739</v>
      </c>
      <c r="D410" s="12" t="s">
        <v>154</v>
      </c>
      <c r="E410" s="12">
        <v>2</v>
      </c>
      <c r="F410" s="12" t="s">
        <v>101</v>
      </c>
      <c r="G410" s="12" t="s">
        <v>758</v>
      </c>
      <c r="H410" s="12" t="s">
        <v>774</v>
      </c>
      <c r="I410" s="14">
        <v>127</v>
      </c>
      <c r="J410" s="13">
        <f>IF(B410="","",SUMIF(Bieu04A_12thang!$B:$B,B410,Bieu04A_12thang!$O:$O))</f>
        <v>40500</v>
      </c>
      <c r="K410" s="23"/>
      <c r="L410" s="13">
        <f>IF(B410="","",SUMIF(Bieu04A_12thang!$B:$B,B410,Bieu04A_12thang!$AB:$AB))</f>
        <v>90153000</v>
      </c>
      <c r="M410" s="12"/>
      <c r="N410" s="12"/>
      <c r="O410" s="12"/>
      <c r="P410" s="12"/>
    </row>
    <row r="411" spans="1:16" x14ac:dyDescent="0.3">
      <c r="A411" s="11">
        <v>405</v>
      </c>
      <c r="B411" s="12" t="s">
        <v>547</v>
      </c>
      <c r="C411" s="12" t="s">
        <v>746</v>
      </c>
      <c r="D411" s="12" t="s">
        <v>154</v>
      </c>
      <c r="E411" s="12">
        <v>2</v>
      </c>
      <c r="F411" s="12" t="s">
        <v>101</v>
      </c>
      <c r="G411" s="12" t="s">
        <v>757</v>
      </c>
      <c r="H411" s="12" t="s">
        <v>774</v>
      </c>
      <c r="I411" s="14">
        <v>10</v>
      </c>
      <c r="J411" s="13">
        <f>IF(B411="","",SUMIF(Bieu04A_12thang!$B:$B,B411,Bieu04A_12thang!$O:$O))</f>
        <v>21191</v>
      </c>
      <c r="K411" s="23"/>
      <c r="L411" s="13">
        <f>IF(B411="","",SUMIF(Bieu04A_12thang!$B:$B,B411,Bieu04A_12thang!$AB:$AB))</f>
        <v>47171166</v>
      </c>
      <c r="M411" s="12"/>
      <c r="N411" s="12"/>
      <c r="O411" s="12"/>
      <c r="P411" s="12"/>
    </row>
    <row r="412" spans="1:16" x14ac:dyDescent="0.3">
      <c r="A412" s="11">
        <v>406</v>
      </c>
      <c r="B412" s="12" t="s">
        <v>559</v>
      </c>
      <c r="C412" s="12" t="s">
        <v>753</v>
      </c>
      <c r="D412" s="12" t="s">
        <v>154</v>
      </c>
      <c r="E412" s="12">
        <v>2</v>
      </c>
      <c r="F412" s="12" t="s">
        <v>101</v>
      </c>
      <c r="G412" s="12" t="s">
        <v>757</v>
      </c>
      <c r="H412" s="12" t="s">
        <v>774</v>
      </c>
      <c r="I412" s="14">
        <v>10</v>
      </c>
      <c r="J412" s="13">
        <f>IF(B412="","",SUMIF(Bieu04A_12thang!$B:$B,B412,Bieu04A_12thang!$O:$O))</f>
        <v>366</v>
      </c>
      <c r="K412" s="23"/>
      <c r="L412" s="13">
        <f>IF(B412="","",SUMIF(Bieu04A_12thang!$B:$B,B412,Bieu04A_12thang!$AB:$AB))</f>
        <v>814716</v>
      </c>
      <c r="M412" s="12"/>
      <c r="N412" s="12"/>
      <c r="O412" s="12"/>
      <c r="P412" s="12"/>
    </row>
  </sheetData>
  <autoFilter ref="A6:P412" xr:uid="{00000000-0001-0000-0500-000000000000}"/>
  <mergeCells count="2">
    <mergeCell ref="A1:P1"/>
    <mergeCell ref="A2:P2"/>
  </mergeCells>
  <dataValidations count="2">
    <dataValidation type="list" allowBlank="1" sqref="E7:E412" xr:uid="{00000000-0002-0000-0500-000000000000}">
      <formula1>"1,2"</formula1>
      <formula2>0</formula2>
    </dataValidation>
    <dataValidation type="list" allowBlank="1" sqref="O7:O196 F7:F412" xr:uid="{00000000-0002-0000-0500-000001000000}">
      <formula1>"Có,Không"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416"/>
  <sheetViews>
    <sheetView zoomScaleNormal="100" workbookViewId="0">
      <pane xSplit="2" ySplit="6" topLeftCell="C262" activePane="bottomRight" state="frozen"/>
      <selection activeCell="I7" sqref="I7:I412"/>
      <selection pane="topRight" activeCell="I7" sqref="I7:I412"/>
      <selection pane="bottomLeft" activeCell="I7" sqref="I7:I412"/>
      <selection pane="bottomRight" activeCell="I7" sqref="I7:I412"/>
    </sheetView>
  </sheetViews>
  <sheetFormatPr defaultColWidth="8.6640625" defaultRowHeight="14.4" x14ac:dyDescent="0.3"/>
  <cols>
    <col min="1" max="1" width="5" customWidth="1"/>
    <col min="2" max="2" width="16" customWidth="1"/>
    <col min="3" max="14" width="11" customWidth="1"/>
    <col min="15" max="15" width="14" customWidth="1"/>
    <col min="16" max="27" width="13" customWidth="1"/>
    <col min="28" max="28" width="16" customWidth="1"/>
  </cols>
  <sheetData>
    <row r="1" spans="1:28" ht="16.8" x14ac:dyDescent="0.3">
      <c r="A1" s="27" t="s">
        <v>103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3">
      <c r="A2" s="28" t="s">
        <v>104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x14ac:dyDescent="0.3">
      <c r="A3" s="4" t="s">
        <v>14</v>
      </c>
      <c r="C3" s="5"/>
    </row>
    <row r="5" spans="1:28" ht="75" customHeight="1" x14ac:dyDescent="0.3">
      <c r="A5" s="6" t="s">
        <v>15</v>
      </c>
      <c r="B5" s="6" t="s">
        <v>87</v>
      </c>
      <c r="C5" s="6" t="s">
        <v>105</v>
      </c>
      <c r="D5" s="6" t="s">
        <v>106</v>
      </c>
      <c r="E5" s="6" t="s">
        <v>107</v>
      </c>
      <c r="F5" s="6" t="s">
        <v>108</v>
      </c>
      <c r="G5" s="6" t="s">
        <v>109</v>
      </c>
      <c r="H5" s="6" t="s">
        <v>110</v>
      </c>
      <c r="I5" s="6" t="s">
        <v>111</v>
      </c>
      <c r="J5" s="6" t="s">
        <v>112</v>
      </c>
      <c r="K5" s="6" t="s">
        <v>113</v>
      </c>
      <c r="L5" s="6" t="s">
        <v>114</v>
      </c>
      <c r="M5" s="6" t="s">
        <v>115</v>
      </c>
      <c r="N5" s="6" t="s">
        <v>116</v>
      </c>
      <c r="O5" s="6" t="s">
        <v>117</v>
      </c>
      <c r="P5" s="6" t="s">
        <v>118</v>
      </c>
      <c r="Q5" s="6" t="s">
        <v>119</v>
      </c>
      <c r="R5" s="6" t="s">
        <v>120</v>
      </c>
      <c r="S5" s="6" t="s">
        <v>121</v>
      </c>
      <c r="T5" s="6" t="s">
        <v>122</v>
      </c>
      <c r="U5" s="6" t="s">
        <v>123</v>
      </c>
      <c r="V5" s="6" t="s">
        <v>124</v>
      </c>
      <c r="W5" s="6" t="s">
        <v>125</v>
      </c>
      <c r="X5" s="6" t="s">
        <v>126</v>
      </c>
      <c r="Y5" s="6" t="s">
        <v>127</v>
      </c>
      <c r="Z5" s="6" t="s">
        <v>128</v>
      </c>
      <c r="AA5" s="6" t="s">
        <v>129</v>
      </c>
      <c r="AB5" s="6" t="s">
        <v>130</v>
      </c>
    </row>
    <row r="6" spans="1:28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40</v>
      </c>
      <c r="K6" s="7" t="s">
        <v>41</v>
      </c>
      <c r="L6" s="7" t="s">
        <v>42</v>
      </c>
      <c r="M6" s="7" t="s">
        <v>43</v>
      </c>
      <c r="N6" s="7" t="s">
        <v>44</v>
      </c>
      <c r="O6" s="7" t="s">
        <v>45</v>
      </c>
      <c r="P6" s="7" t="s">
        <v>46</v>
      </c>
      <c r="Q6" s="7" t="s">
        <v>47</v>
      </c>
      <c r="R6" s="7" t="s">
        <v>131</v>
      </c>
      <c r="S6" s="7" t="s">
        <v>132</v>
      </c>
      <c r="T6" s="7" t="s">
        <v>133</v>
      </c>
      <c r="U6" s="7" t="s">
        <v>134</v>
      </c>
      <c r="V6" s="7" t="s">
        <v>135</v>
      </c>
      <c r="W6" s="7" t="s">
        <v>136</v>
      </c>
      <c r="X6" s="7" t="s">
        <v>137</v>
      </c>
      <c r="Y6" s="7" t="s">
        <v>138</v>
      </c>
      <c r="Z6" s="7" t="s">
        <v>139</v>
      </c>
      <c r="AA6" s="7" t="s">
        <v>140</v>
      </c>
      <c r="AB6" s="7" t="s">
        <v>141</v>
      </c>
    </row>
    <row r="7" spans="1:28" x14ac:dyDescent="0.3">
      <c r="A7" s="8" t="s">
        <v>48</v>
      </c>
      <c r="B7" s="9" t="s">
        <v>100</v>
      </c>
      <c r="C7" s="10">
        <v>4200</v>
      </c>
      <c r="D7" s="10">
        <v>4300</v>
      </c>
      <c r="E7" s="10">
        <v>3900</v>
      </c>
      <c r="F7" s="10">
        <v>3100</v>
      </c>
      <c r="G7" s="10">
        <v>3800</v>
      </c>
      <c r="H7" s="10">
        <v>4600</v>
      </c>
      <c r="I7" s="10">
        <v>5200</v>
      </c>
      <c r="J7" s="10">
        <v>5300</v>
      </c>
      <c r="K7" s="10">
        <v>4100</v>
      </c>
      <c r="L7" s="10">
        <v>3900</v>
      </c>
      <c r="M7" s="10">
        <v>4400</v>
      </c>
      <c r="N7" s="10">
        <v>4500</v>
      </c>
      <c r="O7" s="10">
        <f t="shared" ref="O7:O70" si="0">IF(B7="","",SUM(C7:N7))</f>
        <v>51300</v>
      </c>
      <c r="P7" s="10">
        <v>11130000</v>
      </c>
      <c r="Q7" s="10">
        <v>11395000</v>
      </c>
      <c r="R7" s="10">
        <v>10335000</v>
      </c>
      <c r="S7" s="10">
        <v>8215000</v>
      </c>
      <c r="T7" s="10">
        <v>10070000</v>
      </c>
      <c r="U7" s="10">
        <v>12190000</v>
      </c>
      <c r="V7" s="10">
        <v>13780000</v>
      </c>
      <c r="W7" s="10">
        <v>14045000</v>
      </c>
      <c r="X7" s="10">
        <v>10865000</v>
      </c>
      <c r="Y7" s="10">
        <v>10335000</v>
      </c>
      <c r="Z7" s="10">
        <v>11660000</v>
      </c>
      <c r="AA7" s="10">
        <v>11925000</v>
      </c>
      <c r="AB7" s="10">
        <f t="shared" ref="AB7:AB70" si="1">IF(B7="","",SUM(P7:AA7))</f>
        <v>135945000</v>
      </c>
    </row>
    <row r="8" spans="1:28" x14ac:dyDescent="0.3">
      <c r="A8" s="11">
        <v>2</v>
      </c>
      <c r="B8" s="12" t="s">
        <v>401</v>
      </c>
      <c r="C8" s="14">
        <v>2556</v>
      </c>
      <c r="D8" s="14">
        <v>2140</v>
      </c>
      <c r="E8" s="14">
        <v>2229</v>
      </c>
      <c r="F8" s="14">
        <v>1939</v>
      </c>
      <c r="G8" s="14">
        <v>1439</v>
      </c>
      <c r="H8" s="14">
        <v>2800</v>
      </c>
      <c r="I8" s="14">
        <v>2955</v>
      </c>
      <c r="J8" s="14">
        <v>3028</v>
      </c>
      <c r="K8" s="14">
        <v>2250</v>
      </c>
      <c r="L8" s="14">
        <v>2720</v>
      </c>
      <c r="M8" s="14">
        <v>3023</v>
      </c>
      <c r="N8" s="14">
        <v>2569</v>
      </c>
      <c r="O8" s="13">
        <f t="shared" si="0"/>
        <v>29648</v>
      </c>
      <c r="P8" s="14">
        <v>5546460</v>
      </c>
      <c r="Q8" s="14">
        <v>4605656</v>
      </c>
      <c r="R8" s="14">
        <v>4807956</v>
      </c>
      <c r="S8" s="14">
        <v>4148288</v>
      </c>
      <c r="T8" s="14">
        <v>3034688</v>
      </c>
      <c r="U8" s="14">
        <v>6112536</v>
      </c>
      <c r="V8" s="14">
        <v>6469784</v>
      </c>
      <c r="W8" s="14">
        <v>6636308</v>
      </c>
      <c r="X8" s="14">
        <v>4856580</v>
      </c>
      <c r="Y8" s="14">
        <v>5931508</v>
      </c>
      <c r="Z8" s="14">
        <v>6624560</v>
      </c>
      <c r="AA8" s="14">
        <v>5585324</v>
      </c>
      <c r="AB8" s="13">
        <f t="shared" si="1"/>
        <v>64359648</v>
      </c>
    </row>
    <row r="9" spans="1:28" x14ac:dyDescent="0.3">
      <c r="A9" s="11">
        <v>3</v>
      </c>
      <c r="B9" s="12" t="s">
        <v>342</v>
      </c>
      <c r="C9" s="14">
        <v>1016</v>
      </c>
      <c r="D9" s="14">
        <v>874</v>
      </c>
      <c r="E9" s="14">
        <v>1111</v>
      </c>
      <c r="F9" s="14">
        <v>935</v>
      </c>
      <c r="G9" s="14">
        <v>776</v>
      </c>
      <c r="H9" s="14">
        <v>1148</v>
      </c>
      <c r="I9" s="14">
        <v>1127</v>
      </c>
      <c r="J9" s="14">
        <v>997</v>
      </c>
      <c r="K9" s="14">
        <v>646</v>
      </c>
      <c r="L9" s="14">
        <v>690</v>
      </c>
      <c r="M9" s="14">
        <v>599</v>
      </c>
      <c r="N9" s="14">
        <v>1151</v>
      </c>
      <c r="O9" s="13">
        <f t="shared" si="0"/>
        <v>11070</v>
      </c>
      <c r="P9" s="14">
        <v>2261616</v>
      </c>
      <c r="Q9" s="14">
        <v>1945524</v>
      </c>
      <c r="R9" s="14">
        <v>2473086</v>
      </c>
      <c r="S9" s="14">
        <v>2081310</v>
      </c>
      <c r="T9" s="14">
        <v>1727376</v>
      </c>
      <c r="U9" s="14">
        <v>2555448</v>
      </c>
      <c r="V9" s="14">
        <v>2508702</v>
      </c>
      <c r="W9" s="14">
        <v>2219322</v>
      </c>
      <c r="X9" s="14">
        <v>1437996</v>
      </c>
      <c r="Y9" s="14">
        <v>1535940</v>
      </c>
      <c r="Z9" s="14">
        <v>1333374</v>
      </c>
      <c r="AA9" s="14">
        <v>2562126</v>
      </c>
      <c r="AB9" s="13">
        <f t="shared" si="1"/>
        <v>24641820</v>
      </c>
    </row>
    <row r="10" spans="1:28" x14ac:dyDescent="0.3">
      <c r="A10" s="11">
        <v>4</v>
      </c>
      <c r="B10" s="12" t="s">
        <v>380</v>
      </c>
      <c r="C10" s="14">
        <v>173</v>
      </c>
      <c r="D10" s="14">
        <v>190</v>
      </c>
      <c r="E10" s="14">
        <v>161</v>
      </c>
      <c r="F10" s="14">
        <v>143</v>
      </c>
      <c r="G10" s="14">
        <v>82</v>
      </c>
      <c r="H10" s="14">
        <v>154</v>
      </c>
      <c r="I10" s="14">
        <v>158</v>
      </c>
      <c r="J10" s="14">
        <v>149</v>
      </c>
      <c r="K10" s="14">
        <v>13</v>
      </c>
      <c r="L10" s="14">
        <v>9</v>
      </c>
      <c r="M10" s="14">
        <v>77</v>
      </c>
      <c r="N10" s="14">
        <v>164</v>
      </c>
      <c r="O10" s="13">
        <f t="shared" si="0"/>
        <v>1473</v>
      </c>
      <c r="P10" s="14">
        <v>358456</v>
      </c>
      <c r="Q10" s="14">
        <v>393680</v>
      </c>
      <c r="R10" s="14">
        <v>333592</v>
      </c>
      <c r="S10" s="14">
        <v>296296</v>
      </c>
      <c r="T10" s="14">
        <v>169904</v>
      </c>
      <c r="U10" s="14">
        <v>319088</v>
      </c>
      <c r="V10" s="14">
        <v>327376</v>
      </c>
      <c r="W10" s="14">
        <v>308728</v>
      </c>
      <c r="X10" s="14">
        <v>26936</v>
      </c>
      <c r="Y10" s="14">
        <v>18648</v>
      </c>
      <c r="Z10" s="14">
        <v>159544</v>
      </c>
      <c r="AA10" s="14">
        <v>339808</v>
      </c>
      <c r="AB10" s="13">
        <f t="shared" si="1"/>
        <v>3052056</v>
      </c>
    </row>
    <row r="11" spans="1:28" x14ac:dyDescent="0.3">
      <c r="A11" s="11">
        <v>5</v>
      </c>
      <c r="B11" s="12" t="s">
        <v>163</v>
      </c>
      <c r="C11" s="14">
        <v>4432</v>
      </c>
      <c r="D11" s="14">
        <v>5129</v>
      </c>
      <c r="E11" s="14">
        <v>5337</v>
      </c>
      <c r="F11" s="14">
        <v>5083</v>
      </c>
      <c r="G11" s="14">
        <v>5433</v>
      </c>
      <c r="H11" s="14">
        <v>7537</v>
      </c>
      <c r="I11" s="14">
        <v>8603</v>
      </c>
      <c r="J11" s="14">
        <v>9098</v>
      </c>
      <c r="K11" s="14">
        <v>8755</v>
      </c>
      <c r="L11" s="14">
        <v>8726</v>
      </c>
      <c r="M11" s="14">
        <v>7457</v>
      </c>
      <c r="N11" s="14">
        <v>5847</v>
      </c>
      <c r="O11" s="13">
        <f t="shared" si="0"/>
        <v>81437</v>
      </c>
      <c r="P11" s="14">
        <v>9865632</v>
      </c>
      <c r="Q11" s="14">
        <v>11417154</v>
      </c>
      <c r="R11" s="14">
        <v>11880162</v>
      </c>
      <c r="S11" s="14">
        <v>11314758</v>
      </c>
      <c r="T11" s="14">
        <v>12093858</v>
      </c>
      <c r="U11" s="14">
        <v>16777362</v>
      </c>
      <c r="V11" s="14">
        <v>19150278</v>
      </c>
      <c r="W11" s="14">
        <v>20252148</v>
      </c>
      <c r="X11" s="14">
        <v>19488630</v>
      </c>
      <c r="Y11" s="14">
        <v>19424076</v>
      </c>
      <c r="Z11" s="14">
        <v>16599282</v>
      </c>
      <c r="AA11" s="14">
        <v>13015422</v>
      </c>
      <c r="AB11" s="13">
        <f t="shared" si="1"/>
        <v>181278762</v>
      </c>
    </row>
    <row r="12" spans="1:28" x14ac:dyDescent="0.3">
      <c r="A12" s="11">
        <v>6</v>
      </c>
      <c r="B12" s="12" t="s">
        <v>164</v>
      </c>
      <c r="C12" s="14">
        <v>3462</v>
      </c>
      <c r="D12" s="14">
        <v>2605</v>
      </c>
      <c r="E12" s="14">
        <v>3280</v>
      </c>
      <c r="F12" s="14">
        <v>2074</v>
      </c>
      <c r="G12" s="14">
        <v>2413</v>
      </c>
      <c r="H12" s="14">
        <v>3137</v>
      </c>
      <c r="I12" s="14">
        <v>5101</v>
      </c>
      <c r="J12" s="14">
        <v>5951</v>
      </c>
      <c r="K12" s="14">
        <v>5736</v>
      </c>
      <c r="L12" s="14">
        <v>4114</v>
      </c>
      <c r="M12" s="14">
        <v>3651</v>
      </c>
      <c r="N12" s="14">
        <v>2868</v>
      </c>
      <c r="O12" s="13">
        <f t="shared" si="0"/>
        <v>44392</v>
      </c>
      <c r="P12" s="14">
        <v>7706412</v>
      </c>
      <c r="Q12" s="14">
        <v>5798730</v>
      </c>
      <c r="R12" s="14">
        <v>7301280</v>
      </c>
      <c r="S12" s="14">
        <v>4616724</v>
      </c>
      <c r="T12" s="14">
        <v>5371338</v>
      </c>
      <c r="U12" s="14">
        <v>6982962</v>
      </c>
      <c r="V12" s="14">
        <v>11354826</v>
      </c>
      <c r="W12" s="14">
        <v>13246926</v>
      </c>
      <c r="X12" s="14">
        <v>12768336</v>
      </c>
      <c r="Y12" s="14">
        <v>9157764</v>
      </c>
      <c r="Z12" s="14">
        <v>8127126</v>
      </c>
      <c r="AA12" s="14">
        <v>6384168</v>
      </c>
      <c r="AB12" s="13">
        <f t="shared" si="1"/>
        <v>98816592</v>
      </c>
    </row>
    <row r="13" spans="1:28" x14ac:dyDescent="0.3">
      <c r="A13" s="11">
        <v>7</v>
      </c>
      <c r="B13" s="12" t="s">
        <v>165</v>
      </c>
      <c r="C13" s="14">
        <v>2212</v>
      </c>
      <c r="D13" s="14">
        <v>2039</v>
      </c>
      <c r="E13" s="14">
        <v>2096</v>
      </c>
      <c r="F13" s="14">
        <v>1475</v>
      </c>
      <c r="G13" s="14">
        <v>1680</v>
      </c>
      <c r="H13" s="14">
        <v>2544</v>
      </c>
      <c r="I13" s="14">
        <v>2925</v>
      </c>
      <c r="J13" s="14">
        <v>3270</v>
      </c>
      <c r="K13" s="14">
        <v>2949</v>
      </c>
      <c r="L13" s="14">
        <v>3151</v>
      </c>
      <c r="M13" s="14">
        <v>2675</v>
      </c>
      <c r="N13" s="14">
        <v>2069</v>
      </c>
      <c r="O13" s="13">
        <f t="shared" si="0"/>
        <v>29085</v>
      </c>
      <c r="P13" s="14">
        <v>4923912</v>
      </c>
      <c r="Q13" s="14">
        <v>4538814</v>
      </c>
      <c r="R13" s="14">
        <v>4665696</v>
      </c>
      <c r="S13" s="14">
        <v>3283350</v>
      </c>
      <c r="T13" s="14">
        <v>3739680</v>
      </c>
      <c r="U13" s="14">
        <v>5662944</v>
      </c>
      <c r="V13" s="14">
        <v>6511050</v>
      </c>
      <c r="W13" s="14">
        <v>7279020</v>
      </c>
      <c r="X13" s="14">
        <v>6564474</v>
      </c>
      <c r="Y13" s="14">
        <v>7014126</v>
      </c>
      <c r="Z13" s="14">
        <v>5954550</v>
      </c>
      <c r="AA13" s="14">
        <v>4605594</v>
      </c>
      <c r="AB13" s="13">
        <f t="shared" si="1"/>
        <v>64743210</v>
      </c>
    </row>
    <row r="14" spans="1:28" x14ac:dyDescent="0.3">
      <c r="A14" s="11">
        <v>8</v>
      </c>
      <c r="B14" s="12" t="s">
        <v>550</v>
      </c>
      <c r="C14" s="14">
        <v>148</v>
      </c>
      <c r="D14" s="14">
        <v>144</v>
      </c>
      <c r="E14" s="14">
        <v>106</v>
      </c>
      <c r="F14" s="14">
        <v>86</v>
      </c>
      <c r="G14" s="14">
        <v>51</v>
      </c>
      <c r="H14" s="14">
        <v>111</v>
      </c>
      <c r="I14" s="14">
        <v>165</v>
      </c>
      <c r="J14" s="14">
        <v>320</v>
      </c>
      <c r="K14" s="14">
        <v>280</v>
      </c>
      <c r="L14" s="14">
        <v>279</v>
      </c>
      <c r="M14" s="14">
        <v>269</v>
      </c>
      <c r="N14" s="14">
        <v>238</v>
      </c>
      <c r="O14" s="13">
        <f t="shared" si="0"/>
        <v>2197</v>
      </c>
      <c r="P14" s="14">
        <v>329448</v>
      </c>
      <c r="Q14" s="14">
        <v>320544</v>
      </c>
      <c r="R14" s="14">
        <v>235956</v>
      </c>
      <c r="S14" s="14">
        <v>191436</v>
      </c>
      <c r="T14" s="14">
        <v>113526</v>
      </c>
      <c r="U14" s="14">
        <v>247086</v>
      </c>
      <c r="V14" s="14">
        <v>367290</v>
      </c>
      <c r="W14" s="14">
        <v>712320</v>
      </c>
      <c r="X14" s="14">
        <v>623280</v>
      </c>
      <c r="Y14" s="14">
        <v>621054</v>
      </c>
      <c r="Z14" s="14">
        <v>598794</v>
      </c>
      <c r="AA14" s="14">
        <v>529788</v>
      </c>
      <c r="AB14" s="13">
        <f t="shared" si="1"/>
        <v>4890522</v>
      </c>
    </row>
    <row r="15" spans="1:28" x14ac:dyDescent="0.3">
      <c r="A15" s="11">
        <v>9</v>
      </c>
      <c r="B15" s="12" t="s">
        <v>297</v>
      </c>
      <c r="C15" s="14">
        <v>598</v>
      </c>
      <c r="D15" s="14">
        <v>581</v>
      </c>
      <c r="E15" s="14">
        <v>570</v>
      </c>
      <c r="F15" s="14">
        <v>551</v>
      </c>
      <c r="G15" s="14">
        <v>543</v>
      </c>
      <c r="H15" s="14">
        <v>633</v>
      </c>
      <c r="I15" s="14">
        <v>705</v>
      </c>
      <c r="J15" s="14">
        <v>824</v>
      </c>
      <c r="K15" s="14">
        <v>766</v>
      </c>
      <c r="L15" s="14">
        <v>818</v>
      </c>
      <c r="M15" s="14">
        <v>771</v>
      </c>
      <c r="N15" s="14">
        <v>737</v>
      </c>
      <c r="O15" s="13">
        <f t="shared" si="0"/>
        <v>8097</v>
      </c>
      <c r="P15" s="14">
        <v>1239056</v>
      </c>
      <c r="Q15" s="14">
        <v>1203832</v>
      </c>
      <c r="R15" s="14">
        <v>1181040</v>
      </c>
      <c r="S15" s="14">
        <v>1141672</v>
      </c>
      <c r="T15" s="14">
        <v>1125096</v>
      </c>
      <c r="U15" s="14">
        <v>1311576</v>
      </c>
      <c r="V15" s="14">
        <v>1460760</v>
      </c>
      <c r="W15" s="14">
        <v>1707328</v>
      </c>
      <c r="X15" s="14">
        <v>1587152</v>
      </c>
      <c r="Y15" s="14">
        <v>1694896</v>
      </c>
      <c r="Z15" s="14">
        <v>1597512</v>
      </c>
      <c r="AA15" s="14">
        <v>1527064</v>
      </c>
      <c r="AB15" s="13">
        <f t="shared" si="1"/>
        <v>16776984</v>
      </c>
    </row>
    <row r="16" spans="1:28" x14ac:dyDescent="0.3">
      <c r="A16" s="11">
        <v>10</v>
      </c>
      <c r="B16" s="12" t="s">
        <v>247</v>
      </c>
      <c r="C16" s="14">
        <v>19</v>
      </c>
      <c r="D16" s="14">
        <v>58</v>
      </c>
      <c r="E16" s="14">
        <v>28</v>
      </c>
      <c r="F16" s="14">
        <v>14</v>
      </c>
      <c r="G16" s="14">
        <v>17</v>
      </c>
      <c r="H16" s="14">
        <v>84</v>
      </c>
      <c r="I16" s="14">
        <v>24</v>
      </c>
      <c r="J16" s="14">
        <v>23</v>
      </c>
      <c r="K16" s="14">
        <v>23</v>
      </c>
      <c r="L16" s="14">
        <v>24</v>
      </c>
      <c r="M16" s="14">
        <v>18</v>
      </c>
      <c r="N16" s="14">
        <v>18</v>
      </c>
      <c r="O16" s="13">
        <f t="shared" si="0"/>
        <v>350</v>
      </c>
      <c r="P16" s="14">
        <v>42294</v>
      </c>
      <c r="Q16" s="14">
        <v>129108</v>
      </c>
      <c r="R16" s="14">
        <v>62328</v>
      </c>
      <c r="S16" s="14">
        <v>31164</v>
      </c>
      <c r="T16" s="14">
        <v>37842</v>
      </c>
      <c r="U16" s="14">
        <v>186984</v>
      </c>
      <c r="V16" s="14">
        <v>53424</v>
      </c>
      <c r="W16" s="14">
        <v>51198</v>
      </c>
      <c r="X16" s="14">
        <v>51198</v>
      </c>
      <c r="Y16" s="14">
        <v>53424</v>
      </c>
      <c r="Z16" s="14">
        <v>40068</v>
      </c>
      <c r="AA16" s="14">
        <v>40068</v>
      </c>
      <c r="AB16" s="13">
        <f t="shared" si="1"/>
        <v>779100</v>
      </c>
    </row>
    <row r="17" spans="1:28" x14ac:dyDescent="0.3">
      <c r="A17" s="11">
        <v>11</v>
      </c>
      <c r="B17" s="12" t="s">
        <v>294</v>
      </c>
      <c r="C17" s="14">
        <v>296</v>
      </c>
      <c r="D17" s="14">
        <v>283</v>
      </c>
      <c r="E17" s="14">
        <v>337</v>
      </c>
      <c r="F17" s="14">
        <v>291</v>
      </c>
      <c r="G17" s="14">
        <v>264</v>
      </c>
      <c r="H17" s="14">
        <v>347</v>
      </c>
      <c r="I17" s="14">
        <v>361</v>
      </c>
      <c r="J17" s="14">
        <v>357</v>
      </c>
      <c r="K17" s="14">
        <v>302</v>
      </c>
      <c r="L17" s="14">
        <v>103</v>
      </c>
      <c r="M17" s="14"/>
      <c r="N17" s="14"/>
      <c r="O17" s="13">
        <f t="shared" si="0"/>
        <v>2941</v>
      </c>
      <c r="P17" s="14">
        <v>658896</v>
      </c>
      <c r="Q17" s="14">
        <v>629958</v>
      </c>
      <c r="R17" s="14">
        <v>750162</v>
      </c>
      <c r="S17" s="14">
        <v>647766</v>
      </c>
      <c r="T17" s="14">
        <v>587664</v>
      </c>
      <c r="U17" s="14">
        <v>772422</v>
      </c>
      <c r="V17" s="14">
        <v>803586</v>
      </c>
      <c r="W17" s="14">
        <v>794682</v>
      </c>
      <c r="X17" s="14">
        <v>672252</v>
      </c>
      <c r="Y17" s="14">
        <v>229278</v>
      </c>
      <c r="Z17" s="14"/>
      <c r="AA17" s="14"/>
      <c r="AB17" s="13">
        <f t="shared" si="1"/>
        <v>6546666</v>
      </c>
    </row>
    <row r="18" spans="1:28" x14ac:dyDescent="0.3">
      <c r="A18" s="11">
        <v>12</v>
      </c>
      <c r="B18" s="12" t="s">
        <v>279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3">
        <f t="shared" si="0"/>
        <v>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3">
        <f t="shared" si="1"/>
        <v>0</v>
      </c>
    </row>
    <row r="19" spans="1:28" x14ac:dyDescent="0.3">
      <c r="A19" s="11">
        <v>13</v>
      </c>
      <c r="B19" s="12" t="s">
        <v>552</v>
      </c>
      <c r="C19" s="14">
        <v>7810</v>
      </c>
      <c r="D19" s="14">
        <v>7584</v>
      </c>
      <c r="E19" s="14">
        <v>7971</v>
      </c>
      <c r="F19" s="14">
        <v>5870</v>
      </c>
      <c r="G19" s="14">
        <v>7966</v>
      </c>
      <c r="H19" s="14">
        <v>10493</v>
      </c>
      <c r="I19" s="14">
        <v>11675</v>
      </c>
      <c r="J19" s="14">
        <v>11525</v>
      </c>
      <c r="K19" s="14">
        <v>9392</v>
      </c>
      <c r="L19" s="14">
        <v>9098</v>
      </c>
      <c r="M19" s="14">
        <v>9643</v>
      </c>
      <c r="N19" s="14">
        <v>8694</v>
      </c>
      <c r="O19" s="13">
        <f t="shared" si="0"/>
        <v>107721</v>
      </c>
      <c r="P19" s="14">
        <v>17385060</v>
      </c>
      <c r="Q19" s="14">
        <v>16881984</v>
      </c>
      <c r="R19" s="14">
        <v>17743446</v>
      </c>
      <c r="S19" s="14">
        <v>13066620</v>
      </c>
      <c r="T19" s="14">
        <v>17732316</v>
      </c>
      <c r="U19" s="14">
        <v>23357418</v>
      </c>
      <c r="V19" s="14">
        <v>25988550</v>
      </c>
      <c r="W19" s="14">
        <v>25654650</v>
      </c>
      <c r="X19" s="14">
        <v>20906592</v>
      </c>
      <c r="Y19" s="14">
        <v>20252148</v>
      </c>
      <c r="Z19" s="14">
        <v>21465318</v>
      </c>
      <c r="AA19" s="14">
        <v>19352844</v>
      </c>
      <c r="AB19" s="13">
        <f t="shared" si="1"/>
        <v>239786946</v>
      </c>
    </row>
    <row r="20" spans="1:28" x14ac:dyDescent="0.3">
      <c r="A20" s="11">
        <v>14</v>
      </c>
      <c r="B20" s="12" t="s">
        <v>277</v>
      </c>
      <c r="C20" s="14">
        <v>2927</v>
      </c>
      <c r="D20" s="14">
        <v>2475</v>
      </c>
      <c r="E20" s="14">
        <v>2612</v>
      </c>
      <c r="F20" s="14">
        <v>2051</v>
      </c>
      <c r="G20" s="14">
        <v>1636</v>
      </c>
      <c r="H20" s="14">
        <v>3023</v>
      </c>
      <c r="I20" s="14">
        <v>3851</v>
      </c>
      <c r="J20" s="14">
        <v>3525</v>
      </c>
      <c r="K20" s="14">
        <v>3600</v>
      </c>
      <c r="L20" s="14">
        <v>3519</v>
      </c>
      <c r="M20" s="14">
        <v>3040</v>
      </c>
      <c r="N20" s="14">
        <v>2600</v>
      </c>
      <c r="O20" s="13">
        <f t="shared" si="0"/>
        <v>34859</v>
      </c>
      <c r="P20" s="14">
        <v>6515502</v>
      </c>
      <c r="Q20" s="14">
        <v>5509350</v>
      </c>
      <c r="R20" s="14">
        <v>5814312</v>
      </c>
      <c r="S20" s="14">
        <v>4565526</v>
      </c>
      <c r="T20" s="14">
        <v>3641736</v>
      </c>
      <c r="U20" s="14">
        <v>6729198</v>
      </c>
      <c r="V20" s="14">
        <v>8572326</v>
      </c>
      <c r="W20" s="14">
        <v>7846650</v>
      </c>
      <c r="X20" s="14">
        <v>8013600</v>
      </c>
      <c r="Y20" s="14">
        <v>7833294</v>
      </c>
      <c r="Z20" s="14">
        <v>6767040</v>
      </c>
      <c r="AA20" s="14">
        <v>5787600</v>
      </c>
      <c r="AB20" s="13">
        <f t="shared" si="1"/>
        <v>77596134</v>
      </c>
    </row>
    <row r="21" spans="1:28" x14ac:dyDescent="0.3">
      <c r="A21" s="11">
        <v>15</v>
      </c>
      <c r="B21" s="12" t="s">
        <v>318</v>
      </c>
      <c r="C21" s="14">
        <v>140</v>
      </c>
      <c r="D21" s="14">
        <v>14</v>
      </c>
      <c r="E21" s="14">
        <v>11</v>
      </c>
      <c r="F21" s="14">
        <v>13</v>
      </c>
      <c r="G21" s="14">
        <v>16</v>
      </c>
      <c r="H21" s="14">
        <v>19</v>
      </c>
      <c r="I21" s="14">
        <v>14</v>
      </c>
      <c r="J21" s="14">
        <v>13</v>
      </c>
      <c r="K21" s="14">
        <v>23</v>
      </c>
      <c r="L21" s="14">
        <v>22</v>
      </c>
      <c r="M21" s="14">
        <v>294</v>
      </c>
      <c r="N21" s="14">
        <v>543</v>
      </c>
      <c r="O21" s="13">
        <f t="shared" si="0"/>
        <v>1122</v>
      </c>
      <c r="P21" s="14">
        <v>311640</v>
      </c>
      <c r="Q21" s="14">
        <v>31164</v>
      </c>
      <c r="R21" s="14">
        <v>24486</v>
      </c>
      <c r="S21" s="14">
        <v>28938</v>
      </c>
      <c r="T21" s="14">
        <v>35616</v>
      </c>
      <c r="U21" s="14">
        <v>42294</v>
      </c>
      <c r="V21" s="14">
        <v>31164</v>
      </c>
      <c r="W21" s="14">
        <v>28938</v>
      </c>
      <c r="X21" s="14">
        <v>51198</v>
      </c>
      <c r="Y21" s="14">
        <v>48972</v>
      </c>
      <c r="Z21" s="14">
        <v>654444</v>
      </c>
      <c r="AA21" s="14">
        <v>1208718</v>
      </c>
      <c r="AB21" s="13">
        <f t="shared" si="1"/>
        <v>2497572</v>
      </c>
    </row>
    <row r="22" spans="1:28" x14ac:dyDescent="0.3">
      <c r="A22" s="11">
        <v>16</v>
      </c>
      <c r="B22" s="12" t="s">
        <v>553</v>
      </c>
      <c r="C22" s="14">
        <v>1240</v>
      </c>
      <c r="D22" s="14">
        <v>998</v>
      </c>
      <c r="E22" s="14">
        <v>1057</v>
      </c>
      <c r="F22" s="14">
        <v>315</v>
      </c>
      <c r="G22" s="14"/>
      <c r="H22" s="14"/>
      <c r="I22" s="14">
        <v>235</v>
      </c>
      <c r="J22" s="14">
        <v>546</v>
      </c>
      <c r="K22" s="14">
        <v>541</v>
      </c>
      <c r="L22" s="14">
        <v>522</v>
      </c>
      <c r="M22" s="14">
        <v>654</v>
      </c>
      <c r="N22" s="14">
        <v>606</v>
      </c>
      <c r="O22" s="13">
        <f t="shared" si="0"/>
        <v>6714</v>
      </c>
      <c r="P22" s="14">
        <v>2760240</v>
      </c>
      <c r="Q22" s="14">
        <v>2221548</v>
      </c>
      <c r="R22" s="14">
        <v>2352882</v>
      </c>
      <c r="S22" s="14">
        <v>701190</v>
      </c>
      <c r="T22" s="14"/>
      <c r="U22" s="14"/>
      <c r="V22" s="14">
        <v>523110</v>
      </c>
      <c r="W22" s="14">
        <v>1215396</v>
      </c>
      <c r="X22" s="14">
        <v>1204266</v>
      </c>
      <c r="Y22" s="14">
        <v>1161972</v>
      </c>
      <c r="Z22" s="14">
        <v>1455804</v>
      </c>
      <c r="AA22" s="14">
        <v>1348956</v>
      </c>
      <c r="AB22" s="13">
        <f t="shared" si="1"/>
        <v>14945364</v>
      </c>
    </row>
    <row r="23" spans="1:28" x14ac:dyDescent="0.3">
      <c r="A23" s="11">
        <v>17</v>
      </c>
      <c r="B23" s="12" t="s">
        <v>317</v>
      </c>
      <c r="C23" s="14">
        <v>1218</v>
      </c>
      <c r="D23" s="14">
        <v>724</v>
      </c>
      <c r="E23" s="14">
        <v>658</v>
      </c>
      <c r="F23" s="14">
        <v>431</v>
      </c>
      <c r="G23" s="14">
        <v>398</v>
      </c>
      <c r="H23" s="14">
        <v>956</v>
      </c>
      <c r="I23" s="14">
        <v>1295</v>
      </c>
      <c r="J23" s="14">
        <v>1635</v>
      </c>
      <c r="K23" s="14">
        <v>1583</v>
      </c>
      <c r="L23" s="14">
        <v>1465</v>
      </c>
      <c r="M23" s="14">
        <v>1905</v>
      </c>
      <c r="N23" s="14">
        <v>823</v>
      </c>
      <c r="O23" s="13">
        <f t="shared" si="0"/>
        <v>13091</v>
      </c>
      <c r="P23" s="14">
        <v>2711268</v>
      </c>
      <c r="Q23" s="14">
        <v>1611624</v>
      </c>
      <c r="R23" s="14">
        <v>1464708</v>
      </c>
      <c r="S23" s="14">
        <v>959406</v>
      </c>
      <c r="T23" s="14">
        <v>885948</v>
      </c>
      <c r="U23" s="14">
        <v>2128056</v>
      </c>
      <c r="V23" s="14">
        <v>2882670</v>
      </c>
      <c r="W23" s="14">
        <v>3639510</v>
      </c>
      <c r="X23" s="14">
        <v>3523758</v>
      </c>
      <c r="Y23" s="14">
        <v>3261090</v>
      </c>
      <c r="Z23" s="14">
        <v>4240530</v>
      </c>
      <c r="AA23" s="14">
        <v>1831998</v>
      </c>
      <c r="AB23" s="13">
        <f t="shared" si="1"/>
        <v>29140566</v>
      </c>
    </row>
    <row r="24" spans="1:28" x14ac:dyDescent="0.3">
      <c r="A24" s="11">
        <v>18</v>
      </c>
      <c r="B24" s="12" t="s">
        <v>343</v>
      </c>
      <c r="C24" s="14">
        <v>1222</v>
      </c>
      <c r="D24" s="14">
        <v>964</v>
      </c>
      <c r="E24" s="14">
        <v>999</v>
      </c>
      <c r="F24" s="14">
        <v>857</v>
      </c>
      <c r="G24" s="14">
        <v>646</v>
      </c>
      <c r="H24" s="14">
        <v>1243</v>
      </c>
      <c r="I24" s="14">
        <v>1405</v>
      </c>
      <c r="J24" s="14">
        <v>1306</v>
      </c>
      <c r="K24" s="14">
        <v>551</v>
      </c>
      <c r="L24" s="14">
        <v>444</v>
      </c>
      <c r="M24" s="14">
        <v>547</v>
      </c>
      <c r="N24" s="14">
        <v>1025</v>
      </c>
      <c r="O24" s="13">
        <f t="shared" si="0"/>
        <v>11209</v>
      </c>
      <c r="P24" s="14">
        <v>2531984</v>
      </c>
      <c r="Q24" s="14">
        <v>1997408</v>
      </c>
      <c r="R24" s="14">
        <v>2069928</v>
      </c>
      <c r="S24" s="14">
        <v>1775704</v>
      </c>
      <c r="T24" s="14">
        <v>1338512</v>
      </c>
      <c r="U24" s="14">
        <v>2575496</v>
      </c>
      <c r="V24" s="14">
        <v>2911160</v>
      </c>
      <c r="W24" s="14">
        <v>2706032</v>
      </c>
      <c r="X24" s="14">
        <v>1141672</v>
      </c>
      <c r="Y24" s="14">
        <v>919968</v>
      </c>
      <c r="Z24" s="14">
        <v>1133384</v>
      </c>
      <c r="AA24" s="14">
        <v>2123800</v>
      </c>
      <c r="AB24" s="13">
        <f t="shared" si="1"/>
        <v>23225048</v>
      </c>
    </row>
    <row r="25" spans="1:28" x14ac:dyDescent="0.3">
      <c r="A25" s="11">
        <v>19</v>
      </c>
      <c r="B25" s="12" t="s">
        <v>541</v>
      </c>
      <c r="C25" s="14">
        <v>5917</v>
      </c>
      <c r="D25" s="14">
        <v>5152</v>
      </c>
      <c r="E25" s="14">
        <v>5666</v>
      </c>
      <c r="F25" s="14">
        <v>5366</v>
      </c>
      <c r="G25" s="14">
        <v>6953</v>
      </c>
      <c r="H25" s="14">
        <v>8577</v>
      </c>
      <c r="I25" s="14">
        <v>12167</v>
      </c>
      <c r="J25" s="14">
        <v>9502</v>
      </c>
      <c r="K25" s="14">
        <v>7301</v>
      </c>
      <c r="L25" s="14">
        <v>6783</v>
      </c>
      <c r="M25" s="14">
        <v>6275</v>
      </c>
      <c r="N25" s="14">
        <v>5254</v>
      </c>
      <c r="O25" s="13">
        <f t="shared" si="0"/>
        <v>84913</v>
      </c>
      <c r="P25" s="14">
        <v>13171242</v>
      </c>
      <c r="Q25" s="14">
        <v>11468352</v>
      </c>
      <c r="R25" s="14">
        <v>12612516</v>
      </c>
      <c r="S25" s="14">
        <v>11944716</v>
      </c>
      <c r="T25" s="14">
        <v>15477378</v>
      </c>
      <c r="U25" s="14">
        <v>19092402</v>
      </c>
      <c r="V25" s="14">
        <v>27083742</v>
      </c>
      <c r="W25" s="14">
        <v>21151452</v>
      </c>
      <c r="X25" s="14">
        <v>16252026</v>
      </c>
      <c r="Y25" s="14">
        <v>15098958</v>
      </c>
      <c r="Z25" s="14">
        <v>13968150</v>
      </c>
      <c r="AA25" s="14">
        <v>11695404</v>
      </c>
      <c r="AB25" s="13">
        <f t="shared" si="1"/>
        <v>189016338</v>
      </c>
    </row>
    <row r="26" spans="1:28" x14ac:dyDescent="0.3">
      <c r="A26" s="11">
        <v>20</v>
      </c>
      <c r="B26" s="12" t="s">
        <v>348</v>
      </c>
      <c r="C26" s="14">
        <v>5907</v>
      </c>
      <c r="D26" s="14">
        <v>4969</v>
      </c>
      <c r="E26" s="14">
        <v>5043</v>
      </c>
      <c r="F26" s="14">
        <v>4209</v>
      </c>
      <c r="G26" s="14">
        <v>4459</v>
      </c>
      <c r="H26" s="14">
        <v>6299</v>
      </c>
      <c r="I26" s="14">
        <v>6773</v>
      </c>
      <c r="J26" s="14">
        <v>6711</v>
      </c>
      <c r="K26" s="14">
        <v>5945</v>
      </c>
      <c r="L26" s="14">
        <v>6020</v>
      </c>
      <c r="M26" s="14">
        <v>5992</v>
      </c>
      <c r="N26" s="14">
        <v>5927</v>
      </c>
      <c r="O26" s="13">
        <f t="shared" si="0"/>
        <v>68254</v>
      </c>
      <c r="P26" s="14">
        <v>13148982</v>
      </c>
      <c r="Q26" s="14">
        <v>11060994</v>
      </c>
      <c r="R26" s="14">
        <v>11225718</v>
      </c>
      <c r="S26" s="14">
        <v>9369234</v>
      </c>
      <c r="T26" s="14">
        <v>9925734</v>
      </c>
      <c r="U26" s="14">
        <v>14021574</v>
      </c>
      <c r="V26" s="14">
        <v>15076698</v>
      </c>
      <c r="W26" s="14">
        <v>14938686</v>
      </c>
      <c r="X26" s="14">
        <v>13233570</v>
      </c>
      <c r="Y26" s="14">
        <v>13400520</v>
      </c>
      <c r="Z26" s="14">
        <v>13338192</v>
      </c>
      <c r="AA26" s="14">
        <v>13193502</v>
      </c>
      <c r="AB26" s="13">
        <f t="shared" si="1"/>
        <v>151933404</v>
      </c>
    </row>
    <row r="27" spans="1:28" x14ac:dyDescent="0.3">
      <c r="A27" s="11">
        <v>21</v>
      </c>
      <c r="B27" s="12" t="s">
        <v>319</v>
      </c>
      <c r="C27" s="14">
        <v>739</v>
      </c>
      <c r="D27" s="14">
        <v>909</v>
      </c>
      <c r="E27" s="14">
        <v>1030</v>
      </c>
      <c r="F27" s="14">
        <v>732</v>
      </c>
      <c r="G27" s="14">
        <v>900</v>
      </c>
      <c r="H27" s="14">
        <v>1427</v>
      </c>
      <c r="I27" s="14">
        <v>1622</v>
      </c>
      <c r="J27" s="14">
        <v>1551</v>
      </c>
      <c r="K27" s="14">
        <v>1234</v>
      </c>
      <c r="L27" s="14">
        <v>1437</v>
      </c>
      <c r="M27" s="14">
        <v>1376</v>
      </c>
      <c r="N27" s="14">
        <v>1111</v>
      </c>
      <c r="O27" s="13">
        <f t="shared" si="0"/>
        <v>14068</v>
      </c>
      <c r="P27" s="14">
        <v>1645014</v>
      </c>
      <c r="Q27" s="14">
        <v>2023434</v>
      </c>
      <c r="R27" s="14">
        <v>2292780</v>
      </c>
      <c r="S27" s="14">
        <v>1629432</v>
      </c>
      <c r="T27" s="14">
        <v>2003400</v>
      </c>
      <c r="U27" s="14">
        <v>3176502</v>
      </c>
      <c r="V27" s="14">
        <v>3610572</v>
      </c>
      <c r="W27" s="14">
        <v>3452526</v>
      </c>
      <c r="X27" s="14">
        <v>2746884</v>
      </c>
      <c r="Y27" s="14">
        <v>3198762</v>
      </c>
      <c r="Z27" s="14">
        <v>3062976</v>
      </c>
      <c r="AA27" s="14">
        <v>2473086</v>
      </c>
      <c r="AB27" s="13">
        <f t="shared" si="1"/>
        <v>31315368</v>
      </c>
    </row>
    <row r="28" spans="1:28" x14ac:dyDescent="0.3">
      <c r="A28" s="11">
        <v>22</v>
      </c>
      <c r="B28" s="12" t="s">
        <v>389</v>
      </c>
      <c r="C28" s="14">
        <v>5965</v>
      </c>
      <c r="D28" s="14">
        <v>5547</v>
      </c>
      <c r="E28" s="14">
        <v>5401</v>
      </c>
      <c r="F28" s="14">
        <v>4844</v>
      </c>
      <c r="G28" s="14">
        <v>3177</v>
      </c>
      <c r="H28" s="14">
        <v>5463</v>
      </c>
      <c r="I28" s="14">
        <v>5775</v>
      </c>
      <c r="J28" s="14">
        <v>5709</v>
      </c>
      <c r="K28" s="14">
        <v>2595</v>
      </c>
      <c r="L28" s="14">
        <v>3139</v>
      </c>
      <c r="M28" s="14">
        <v>4787</v>
      </c>
      <c r="N28" s="14">
        <v>5881</v>
      </c>
      <c r="O28" s="13">
        <f t="shared" si="0"/>
        <v>58283</v>
      </c>
      <c r="P28" s="14">
        <v>12359480</v>
      </c>
      <c r="Q28" s="14">
        <v>11493384</v>
      </c>
      <c r="R28" s="14">
        <v>11190872</v>
      </c>
      <c r="S28" s="14">
        <v>10036768</v>
      </c>
      <c r="T28" s="14">
        <v>6582744</v>
      </c>
      <c r="U28" s="14">
        <v>11319336</v>
      </c>
      <c r="V28" s="14">
        <v>11965800</v>
      </c>
      <c r="W28" s="14">
        <v>11829048</v>
      </c>
      <c r="X28" s="14">
        <v>5376840</v>
      </c>
      <c r="Y28" s="14">
        <v>6504008</v>
      </c>
      <c r="Z28" s="14">
        <v>9918664</v>
      </c>
      <c r="AA28" s="14">
        <v>12185432</v>
      </c>
      <c r="AB28" s="13">
        <f t="shared" si="1"/>
        <v>120762376</v>
      </c>
    </row>
    <row r="29" spans="1:28" x14ac:dyDescent="0.3">
      <c r="A29" s="11">
        <v>23</v>
      </c>
      <c r="B29" s="12" t="s">
        <v>467</v>
      </c>
      <c r="C29" s="14">
        <v>7031</v>
      </c>
      <c r="D29" s="14">
        <v>5883</v>
      </c>
      <c r="E29" s="14">
        <v>6086</v>
      </c>
      <c r="F29" s="14">
        <v>5745</v>
      </c>
      <c r="G29" s="14">
        <v>3428</v>
      </c>
      <c r="H29" s="14">
        <v>5924</v>
      </c>
      <c r="I29" s="14">
        <v>6668</v>
      </c>
      <c r="J29" s="14">
        <v>4896</v>
      </c>
      <c r="K29" s="14">
        <v>2437</v>
      </c>
      <c r="L29" s="14">
        <v>1776</v>
      </c>
      <c r="M29" s="14">
        <v>1933</v>
      </c>
      <c r="N29" s="14">
        <v>5599</v>
      </c>
      <c r="O29" s="13">
        <f t="shared" si="0"/>
        <v>57406</v>
      </c>
      <c r="P29" s="14">
        <v>14568232</v>
      </c>
      <c r="Q29" s="14">
        <v>12189576</v>
      </c>
      <c r="R29" s="14">
        <v>12610192</v>
      </c>
      <c r="S29" s="14">
        <v>11903640</v>
      </c>
      <c r="T29" s="14">
        <v>7102816</v>
      </c>
      <c r="U29" s="14">
        <v>12274528</v>
      </c>
      <c r="V29" s="14">
        <v>13816096</v>
      </c>
      <c r="W29" s="14">
        <v>10144512</v>
      </c>
      <c r="X29" s="14">
        <v>5049464</v>
      </c>
      <c r="Y29" s="14">
        <v>3679872</v>
      </c>
      <c r="Z29" s="14">
        <v>4005176</v>
      </c>
      <c r="AA29" s="14">
        <v>11601128</v>
      </c>
      <c r="AB29" s="13">
        <f t="shared" si="1"/>
        <v>118945232</v>
      </c>
    </row>
    <row r="30" spans="1:28" x14ac:dyDescent="0.3">
      <c r="A30" s="11">
        <v>24</v>
      </c>
      <c r="B30" s="12" t="s">
        <v>456</v>
      </c>
      <c r="C30" s="14">
        <v>3988</v>
      </c>
      <c r="D30" s="14">
        <v>3443</v>
      </c>
      <c r="E30" s="14">
        <v>3786</v>
      </c>
      <c r="F30" s="14">
        <v>3300</v>
      </c>
      <c r="G30" s="14">
        <v>2346</v>
      </c>
      <c r="H30" s="14">
        <v>3892</v>
      </c>
      <c r="I30" s="14">
        <v>3446</v>
      </c>
      <c r="J30" s="14">
        <v>2887</v>
      </c>
      <c r="K30" s="14">
        <v>991</v>
      </c>
      <c r="L30" s="14">
        <v>830</v>
      </c>
      <c r="M30" s="14">
        <v>1236</v>
      </c>
      <c r="N30" s="14">
        <v>3652</v>
      </c>
      <c r="O30" s="13">
        <f t="shared" si="0"/>
        <v>33797</v>
      </c>
      <c r="P30" s="14">
        <v>8263136</v>
      </c>
      <c r="Q30" s="14">
        <v>7133896</v>
      </c>
      <c r="R30" s="14">
        <v>7844592</v>
      </c>
      <c r="S30" s="14">
        <v>6837600</v>
      </c>
      <c r="T30" s="14">
        <v>4860912</v>
      </c>
      <c r="U30" s="14">
        <v>8064224</v>
      </c>
      <c r="V30" s="14">
        <v>7140112</v>
      </c>
      <c r="W30" s="14">
        <v>5981864</v>
      </c>
      <c r="X30" s="14">
        <v>2053352</v>
      </c>
      <c r="Y30" s="14">
        <v>1719760</v>
      </c>
      <c r="Z30" s="14">
        <v>2560992</v>
      </c>
      <c r="AA30" s="14">
        <v>7566944</v>
      </c>
      <c r="AB30" s="13">
        <f t="shared" si="1"/>
        <v>70027384</v>
      </c>
    </row>
    <row r="31" spans="1:28" x14ac:dyDescent="0.3">
      <c r="A31" s="11">
        <v>25</v>
      </c>
      <c r="B31" s="12" t="s">
        <v>234</v>
      </c>
      <c r="C31" s="14">
        <v>864</v>
      </c>
      <c r="D31" s="14">
        <v>1001</v>
      </c>
      <c r="E31" s="14">
        <v>812</v>
      </c>
      <c r="F31" s="14">
        <v>728</v>
      </c>
      <c r="G31" s="14">
        <v>719</v>
      </c>
      <c r="H31" s="14">
        <v>1163</v>
      </c>
      <c r="I31" s="14">
        <v>1199</v>
      </c>
      <c r="J31" s="14">
        <v>1226</v>
      </c>
      <c r="K31" s="14">
        <v>1195</v>
      </c>
      <c r="L31" s="14">
        <v>1107</v>
      </c>
      <c r="M31" s="14">
        <v>1248</v>
      </c>
      <c r="N31" s="14">
        <v>872</v>
      </c>
      <c r="O31" s="13">
        <f t="shared" si="0"/>
        <v>12134</v>
      </c>
      <c r="P31" s="14">
        <v>1923264</v>
      </c>
      <c r="Q31" s="14">
        <v>2228226</v>
      </c>
      <c r="R31" s="14">
        <v>1807512</v>
      </c>
      <c r="S31" s="14">
        <v>1620528</v>
      </c>
      <c r="T31" s="14">
        <v>1600494</v>
      </c>
      <c r="U31" s="14">
        <v>2588838</v>
      </c>
      <c r="V31" s="14">
        <v>2668974</v>
      </c>
      <c r="W31" s="14">
        <v>2729076</v>
      </c>
      <c r="X31" s="14">
        <v>2660070</v>
      </c>
      <c r="Y31" s="14">
        <v>2464182</v>
      </c>
      <c r="Z31" s="14">
        <v>2778048</v>
      </c>
      <c r="AA31" s="14">
        <v>1941072</v>
      </c>
      <c r="AB31" s="13">
        <f t="shared" si="1"/>
        <v>27010284</v>
      </c>
    </row>
    <row r="32" spans="1:28" x14ac:dyDescent="0.3">
      <c r="A32" s="11">
        <v>26</v>
      </c>
      <c r="B32" s="12" t="s">
        <v>346</v>
      </c>
      <c r="C32" s="14">
        <v>791</v>
      </c>
      <c r="D32" s="14">
        <v>1020</v>
      </c>
      <c r="E32" s="14">
        <v>933</v>
      </c>
      <c r="F32" s="14">
        <v>833</v>
      </c>
      <c r="G32" s="14">
        <v>815</v>
      </c>
      <c r="H32" s="14">
        <v>990</v>
      </c>
      <c r="I32" s="14">
        <v>1376</v>
      </c>
      <c r="J32" s="14">
        <v>2394</v>
      </c>
      <c r="K32" s="14">
        <v>1703</v>
      </c>
      <c r="L32" s="14">
        <v>1615</v>
      </c>
      <c r="M32" s="14">
        <v>1993</v>
      </c>
      <c r="N32" s="14">
        <v>2060</v>
      </c>
      <c r="O32" s="13">
        <f t="shared" si="0"/>
        <v>16523</v>
      </c>
      <c r="P32" s="14">
        <v>1760766</v>
      </c>
      <c r="Q32" s="14">
        <v>2270520</v>
      </c>
      <c r="R32" s="14">
        <v>2076858</v>
      </c>
      <c r="S32" s="14">
        <v>1854258</v>
      </c>
      <c r="T32" s="14">
        <v>1814190</v>
      </c>
      <c r="U32" s="14">
        <v>2203740</v>
      </c>
      <c r="V32" s="14">
        <v>3062976</v>
      </c>
      <c r="W32" s="14">
        <v>5329044</v>
      </c>
      <c r="X32" s="14">
        <v>3790878</v>
      </c>
      <c r="Y32" s="14">
        <v>3594990</v>
      </c>
      <c r="Z32" s="14">
        <v>4436418</v>
      </c>
      <c r="AA32" s="14">
        <v>4585560</v>
      </c>
      <c r="AB32" s="13">
        <f t="shared" si="1"/>
        <v>36780198</v>
      </c>
    </row>
    <row r="33" spans="1:28" x14ac:dyDescent="0.3">
      <c r="A33" s="11">
        <v>27</v>
      </c>
      <c r="B33" s="12" t="s">
        <v>295</v>
      </c>
      <c r="C33" s="14">
        <v>634</v>
      </c>
      <c r="D33" s="14">
        <v>932</v>
      </c>
      <c r="E33" s="14">
        <v>738</v>
      </c>
      <c r="F33" s="14">
        <v>707</v>
      </c>
      <c r="G33" s="14">
        <v>645</v>
      </c>
      <c r="H33" s="14">
        <v>866</v>
      </c>
      <c r="I33" s="14">
        <v>1027</v>
      </c>
      <c r="J33" s="14">
        <v>900</v>
      </c>
      <c r="K33" s="14">
        <v>805</v>
      </c>
      <c r="L33" s="14">
        <v>751</v>
      </c>
      <c r="M33" s="14">
        <v>800</v>
      </c>
      <c r="N33" s="14">
        <v>731</v>
      </c>
      <c r="O33" s="13">
        <f t="shared" si="0"/>
        <v>9536</v>
      </c>
      <c r="P33" s="14">
        <v>1313648</v>
      </c>
      <c r="Q33" s="14">
        <v>1931104</v>
      </c>
      <c r="R33" s="14">
        <v>1529136</v>
      </c>
      <c r="S33" s="14">
        <v>1464904</v>
      </c>
      <c r="T33" s="14">
        <v>1336440</v>
      </c>
      <c r="U33" s="14">
        <v>1794352</v>
      </c>
      <c r="V33" s="14">
        <v>2127944</v>
      </c>
      <c r="W33" s="14">
        <v>1864800</v>
      </c>
      <c r="X33" s="14">
        <v>1667960</v>
      </c>
      <c r="Y33" s="14">
        <v>1556072</v>
      </c>
      <c r="Z33" s="14">
        <v>1657600</v>
      </c>
      <c r="AA33" s="14">
        <v>1514632</v>
      </c>
      <c r="AB33" s="13">
        <f t="shared" si="1"/>
        <v>19758592</v>
      </c>
    </row>
    <row r="34" spans="1:28" x14ac:dyDescent="0.3">
      <c r="A34" s="11">
        <v>28</v>
      </c>
      <c r="B34" s="12" t="s">
        <v>320</v>
      </c>
      <c r="C34" s="14">
        <v>1175</v>
      </c>
      <c r="D34" s="14">
        <v>1634</v>
      </c>
      <c r="E34" s="14">
        <v>1291</v>
      </c>
      <c r="F34" s="14">
        <v>1334</v>
      </c>
      <c r="G34" s="14">
        <v>1449</v>
      </c>
      <c r="H34" s="14">
        <v>1443</v>
      </c>
      <c r="I34" s="14">
        <v>1398</v>
      </c>
      <c r="J34" s="14">
        <v>1490</v>
      </c>
      <c r="K34" s="14">
        <v>1407</v>
      </c>
      <c r="L34" s="14">
        <v>1327</v>
      </c>
      <c r="M34" s="14">
        <v>1401</v>
      </c>
      <c r="N34" s="14">
        <v>1742</v>
      </c>
      <c r="O34" s="13">
        <f t="shared" si="0"/>
        <v>17091</v>
      </c>
      <c r="P34" s="14">
        <v>2615550</v>
      </c>
      <c r="Q34" s="14">
        <v>3637284</v>
      </c>
      <c r="R34" s="14">
        <v>2873766</v>
      </c>
      <c r="S34" s="14">
        <v>2969484</v>
      </c>
      <c r="T34" s="14">
        <v>3225474</v>
      </c>
      <c r="U34" s="14">
        <v>3212118</v>
      </c>
      <c r="V34" s="14">
        <v>3111948</v>
      </c>
      <c r="W34" s="14">
        <v>3316740</v>
      </c>
      <c r="X34" s="14">
        <v>3131982</v>
      </c>
      <c r="Y34" s="14">
        <v>2953902</v>
      </c>
      <c r="Z34" s="14">
        <v>3118626</v>
      </c>
      <c r="AA34" s="14">
        <v>3877692</v>
      </c>
      <c r="AB34" s="13">
        <f t="shared" si="1"/>
        <v>38044566</v>
      </c>
    </row>
    <row r="35" spans="1:28" x14ac:dyDescent="0.3">
      <c r="A35" s="11">
        <v>29</v>
      </c>
      <c r="B35" s="12" t="s">
        <v>248</v>
      </c>
      <c r="C35" s="14">
        <v>12</v>
      </c>
      <c r="D35" s="14">
        <v>18</v>
      </c>
      <c r="E35" s="14">
        <v>18</v>
      </c>
      <c r="F35" s="14">
        <v>9</v>
      </c>
      <c r="G35" s="14">
        <v>7</v>
      </c>
      <c r="H35" s="14">
        <v>59</v>
      </c>
      <c r="I35" s="14"/>
      <c r="J35" s="14">
        <v>6</v>
      </c>
      <c r="K35" s="14">
        <v>9</v>
      </c>
      <c r="L35" s="14">
        <v>17</v>
      </c>
      <c r="M35" s="14">
        <v>17</v>
      </c>
      <c r="N35" s="14">
        <v>18</v>
      </c>
      <c r="O35" s="13">
        <f t="shared" si="0"/>
        <v>190</v>
      </c>
      <c r="P35" s="14">
        <v>26712</v>
      </c>
      <c r="Q35" s="14">
        <v>40068</v>
      </c>
      <c r="R35" s="14">
        <v>40068</v>
      </c>
      <c r="S35" s="14">
        <v>20034</v>
      </c>
      <c r="T35" s="14">
        <v>15582</v>
      </c>
      <c r="U35" s="14">
        <v>131334</v>
      </c>
      <c r="V35" s="14"/>
      <c r="W35" s="14">
        <v>13356</v>
      </c>
      <c r="X35" s="14">
        <v>20034</v>
      </c>
      <c r="Y35" s="14">
        <v>37842</v>
      </c>
      <c r="Z35" s="14">
        <v>37842</v>
      </c>
      <c r="AA35" s="14">
        <v>40068</v>
      </c>
      <c r="AB35" s="13">
        <f t="shared" si="1"/>
        <v>422940</v>
      </c>
    </row>
    <row r="36" spans="1:28" x14ac:dyDescent="0.3">
      <c r="A36" s="11">
        <v>30</v>
      </c>
      <c r="B36" s="12" t="s">
        <v>760</v>
      </c>
      <c r="C36" s="14">
        <v>163</v>
      </c>
      <c r="D36" s="14">
        <v>252</v>
      </c>
      <c r="E36" s="14">
        <v>128</v>
      </c>
      <c r="F36" s="14">
        <v>106</v>
      </c>
      <c r="G36" s="14">
        <v>143</v>
      </c>
      <c r="H36" s="14">
        <v>211</v>
      </c>
      <c r="I36" s="14">
        <v>197</v>
      </c>
      <c r="J36" s="14">
        <v>373</v>
      </c>
      <c r="K36" s="14">
        <v>173</v>
      </c>
      <c r="L36" s="14">
        <v>178</v>
      </c>
      <c r="M36" s="14">
        <v>216</v>
      </c>
      <c r="N36" s="14">
        <v>290</v>
      </c>
      <c r="O36" s="13">
        <f t="shared" si="0"/>
        <v>2430</v>
      </c>
      <c r="P36" s="14">
        <v>362838</v>
      </c>
      <c r="Q36" s="14">
        <v>560952</v>
      </c>
      <c r="R36" s="14">
        <v>284928</v>
      </c>
      <c r="S36" s="14">
        <v>235956</v>
      </c>
      <c r="T36" s="14">
        <v>318318</v>
      </c>
      <c r="U36" s="14">
        <v>469686</v>
      </c>
      <c r="V36" s="14">
        <v>438522</v>
      </c>
      <c r="W36" s="14">
        <v>830298</v>
      </c>
      <c r="X36" s="14">
        <v>385098</v>
      </c>
      <c r="Y36" s="14">
        <v>396228</v>
      </c>
      <c r="Z36" s="14">
        <v>480816</v>
      </c>
      <c r="AA36" s="14">
        <v>645540</v>
      </c>
      <c r="AB36" s="13">
        <f t="shared" si="1"/>
        <v>5409180</v>
      </c>
    </row>
    <row r="37" spans="1:28" x14ac:dyDescent="0.3">
      <c r="A37" s="11">
        <v>31</v>
      </c>
      <c r="B37" s="12" t="s">
        <v>409</v>
      </c>
      <c r="C37" s="14">
        <v>229</v>
      </c>
      <c r="D37" s="14">
        <v>138</v>
      </c>
      <c r="E37" s="14">
        <v>139</v>
      </c>
      <c r="F37" s="14">
        <v>147</v>
      </c>
      <c r="G37" s="14">
        <v>103</v>
      </c>
      <c r="H37" s="14">
        <v>149</v>
      </c>
      <c r="I37" s="14">
        <v>175</v>
      </c>
      <c r="J37" s="14">
        <v>95</v>
      </c>
      <c r="K37" s="14">
        <v>34</v>
      </c>
      <c r="L37" s="14">
        <v>54</v>
      </c>
      <c r="M37" s="14">
        <v>20</v>
      </c>
      <c r="N37" s="14">
        <v>91</v>
      </c>
      <c r="O37" s="13">
        <f t="shared" si="0"/>
        <v>1374</v>
      </c>
      <c r="P37" s="14">
        <v>474488</v>
      </c>
      <c r="Q37" s="14">
        <v>285936</v>
      </c>
      <c r="R37" s="14">
        <v>288008</v>
      </c>
      <c r="S37" s="14">
        <v>304584</v>
      </c>
      <c r="T37" s="14">
        <v>213416</v>
      </c>
      <c r="U37" s="14">
        <v>308728</v>
      </c>
      <c r="V37" s="14">
        <v>362600</v>
      </c>
      <c r="W37" s="14">
        <v>196840</v>
      </c>
      <c r="X37" s="14">
        <v>70448</v>
      </c>
      <c r="Y37" s="14">
        <v>111888</v>
      </c>
      <c r="Z37" s="14">
        <v>41440</v>
      </c>
      <c r="AA37" s="14">
        <v>188552</v>
      </c>
      <c r="AB37" s="13">
        <f t="shared" si="1"/>
        <v>2846928</v>
      </c>
    </row>
    <row r="38" spans="1:28" x14ac:dyDescent="0.3">
      <c r="A38" s="11">
        <v>32</v>
      </c>
      <c r="B38" s="12" t="s">
        <v>440</v>
      </c>
      <c r="C38" s="14">
        <v>435</v>
      </c>
      <c r="D38" s="14">
        <v>421</v>
      </c>
      <c r="E38" s="14">
        <v>440</v>
      </c>
      <c r="F38" s="14">
        <v>416</v>
      </c>
      <c r="G38" s="14">
        <v>291</v>
      </c>
      <c r="H38" s="14">
        <v>446</v>
      </c>
      <c r="I38" s="14">
        <v>478</v>
      </c>
      <c r="J38" s="14">
        <v>356</v>
      </c>
      <c r="K38" s="14">
        <v>286</v>
      </c>
      <c r="L38" s="14">
        <v>302</v>
      </c>
      <c r="M38" s="14">
        <v>250</v>
      </c>
      <c r="N38" s="14">
        <v>415</v>
      </c>
      <c r="O38" s="13">
        <f t="shared" si="0"/>
        <v>4536</v>
      </c>
      <c r="P38" s="14">
        <v>901320</v>
      </c>
      <c r="Q38" s="14">
        <v>872312</v>
      </c>
      <c r="R38" s="14">
        <v>911680</v>
      </c>
      <c r="S38" s="14">
        <v>861952</v>
      </c>
      <c r="T38" s="14">
        <v>602952</v>
      </c>
      <c r="U38" s="14">
        <v>924112</v>
      </c>
      <c r="V38" s="14">
        <v>990416</v>
      </c>
      <c r="W38" s="14">
        <v>737632</v>
      </c>
      <c r="X38" s="14">
        <v>592592</v>
      </c>
      <c r="Y38" s="14">
        <v>625744</v>
      </c>
      <c r="Z38" s="14">
        <v>518000</v>
      </c>
      <c r="AA38" s="14">
        <v>859880</v>
      </c>
      <c r="AB38" s="13">
        <f t="shared" si="1"/>
        <v>9398592</v>
      </c>
    </row>
    <row r="39" spans="1:28" x14ac:dyDescent="0.3">
      <c r="A39" s="11">
        <v>33</v>
      </c>
      <c r="B39" s="12" t="s">
        <v>249</v>
      </c>
      <c r="C39" s="14">
        <v>74</v>
      </c>
      <c r="D39" s="14">
        <v>116</v>
      </c>
      <c r="E39" s="14">
        <v>74</v>
      </c>
      <c r="F39" s="14">
        <v>73</v>
      </c>
      <c r="G39" s="14">
        <v>65</v>
      </c>
      <c r="H39" s="14">
        <v>68</v>
      </c>
      <c r="I39" s="14">
        <v>67</v>
      </c>
      <c r="J39" s="14">
        <v>98</v>
      </c>
      <c r="K39" s="14">
        <v>64</v>
      </c>
      <c r="L39" s="14">
        <v>69</v>
      </c>
      <c r="M39" s="14">
        <v>76</v>
      </c>
      <c r="N39" s="14">
        <v>94</v>
      </c>
      <c r="O39" s="13">
        <f t="shared" si="0"/>
        <v>938</v>
      </c>
      <c r="P39" s="14">
        <v>164724</v>
      </c>
      <c r="Q39" s="14">
        <v>258216</v>
      </c>
      <c r="R39" s="14">
        <v>164724</v>
      </c>
      <c r="S39" s="14">
        <v>162498</v>
      </c>
      <c r="T39" s="14">
        <v>144690</v>
      </c>
      <c r="U39" s="14">
        <v>151368</v>
      </c>
      <c r="V39" s="14">
        <v>149142</v>
      </c>
      <c r="W39" s="14">
        <v>218148</v>
      </c>
      <c r="X39" s="14">
        <v>142464</v>
      </c>
      <c r="Y39" s="14">
        <v>153594</v>
      </c>
      <c r="Z39" s="14">
        <v>169176</v>
      </c>
      <c r="AA39" s="14">
        <v>209244</v>
      </c>
      <c r="AB39" s="13">
        <f t="shared" si="1"/>
        <v>2087988</v>
      </c>
    </row>
    <row r="40" spans="1:28" x14ac:dyDescent="0.3">
      <c r="A40" s="11">
        <v>34</v>
      </c>
      <c r="B40" s="12" t="s">
        <v>250</v>
      </c>
      <c r="C40" s="14">
        <v>22</v>
      </c>
      <c r="D40" s="14">
        <v>27</v>
      </c>
      <c r="E40" s="14">
        <v>11</v>
      </c>
      <c r="F40" s="14">
        <v>20</v>
      </c>
      <c r="G40" s="14">
        <v>34</v>
      </c>
      <c r="H40" s="14">
        <v>42</v>
      </c>
      <c r="I40" s="14">
        <v>23</v>
      </c>
      <c r="J40" s="14">
        <v>20</v>
      </c>
      <c r="K40" s="14">
        <v>39</v>
      </c>
      <c r="L40" s="14">
        <v>16</v>
      </c>
      <c r="M40" s="14">
        <v>17</v>
      </c>
      <c r="N40" s="14">
        <v>17</v>
      </c>
      <c r="O40" s="13">
        <f t="shared" si="0"/>
        <v>288</v>
      </c>
      <c r="P40" s="14">
        <v>48972</v>
      </c>
      <c r="Q40" s="14">
        <v>60102</v>
      </c>
      <c r="R40" s="14">
        <v>24486</v>
      </c>
      <c r="S40" s="14">
        <v>44520</v>
      </c>
      <c r="T40" s="14">
        <v>75684</v>
      </c>
      <c r="U40" s="14">
        <v>93492</v>
      </c>
      <c r="V40" s="14">
        <v>51198</v>
      </c>
      <c r="W40" s="14">
        <v>44520</v>
      </c>
      <c r="X40" s="14">
        <v>86814</v>
      </c>
      <c r="Y40" s="14">
        <v>35616</v>
      </c>
      <c r="Z40" s="14">
        <v>37842</v>
      </c>
      <c r="AA40" s="14">
        <v>37842</v>
      </c>
      <c r="AB40" s="13">
        <f t="shared" si="1"/>
        <v>641088</v>
      </c>
    </row>
    <row r="41" spans="1:28" x14ac:dyDescent="0.3">
      <c r="A41" s="11">
        <v>35</v>
      </c>
      <c r="B41" s="12" t="s">
        <v>301</v>
      </c>
      <c r="C41" s="14">
        <v>384</v>
      </c>
      <c r="D41" s="14">
        <v>659</v>
      </c>
      <c r="E41" s="14">
        <v>498</v>
      </c>
      <c r="F41" s="14">
        <v>465</v>
      </c>
      <c r="G41" s="14">
        <v>444</v>
      </c>
      <c r="H41" s="14">
        <v>648</v>
      </c>
      <c r="I41" s="14">
        <v>490</v>
      </c>
      <c r="J41" s="14">
        <v>534</v>
      </c>
      <c r="K41" s="14">
        <v>476</v>
      </c>
      <c r="L41" s="14">
        <v>519</v>
      </c>
      <c r="M41" s="14">
        <v>528</v>
      </c>
      <c r="N41" s="14">
        <v>527</v>
      </c>
      <c r="O41" s="13">
        <f t="shared" si="0"/>
        <v>6172</v>
      </c>
      <c r="P41" s="14">
        <v>795648</v>
      </c>
      <c r="Q41" s="14">
        <v>1365448</v>
      </c>
      <c r="R41" s="14">
        <v>1031856</v>
      </c>
      <c r="S41" s="14">
        <v>963480</v>
      </c>
      <c r="T41" s="14">
        <v>919968</v>
      </c>
      <c r="U41" s="14">
        <v>1342656</v>
      </c>
      <c r="V41" s="14">
        <v>1015280</v>
      </c>
      <c r="W41" s="14">
        <v>1106448</v>
      </c>
      <c r="X41" s="14">
        <v>986272</v>
      </c>
      <c r="Y41" s="14">
        <v>1075368</v>
      </c>
      <c r="Z41" s="14">
        <v>1094016</v>
      </c>
      <c r="AA41" s="14">
        <v>1091944</v>
      </c>
      <c r="AB41" s="13">
        <f t="shared" si="1"/>
        <v>12788384</v>
      </c>
    </row>
    <row r="42" spans="1:28" x14ac:dyDescent="0.3">
      <c r="A42" s="11">
        <v>36</v>
      </c>
      <c r="B42" s="12" t="s">
        <v>364</v>
      </c>
      <c r="C42" s="14">
        <v>2099</v>
      </c>
      <c r="D42" s="14">
        <v>2630</v>
      </c>
      <c r="E42" s="14">
        <v>1963</v>
      </c>
      <c r="F42" s="14">
        <v>1711</v>
      </c>
      <c r="G42" s="14">
        <v>1358</v>
      </c>
      <c r="H42" s="14">
        <v>2224</v>
      </c>
      <c r="I42" s="14">
        <v>2439</v>
      </c>
      <c r="J42" s="14">
        <v>1999</v>
      </c>
      <c r="K42" s="14">
        <v>847</v>
      </c>
      <c r="L42" s="14">
        <v>663</v>
      </c>
      <c r="M42" s="14">
        <v>1097</v>
      </c>
      <c r="N42" s="14">
        <v>1727</v>
      </c>
      <c r="O42" s="13">
        <f t="shared" si="0"/>
        <v>20757</v>
      </c>
      <c r="P42" s="14">
        <v>4349128</v>
      </c>
      <c r="Q42" s="14">
        <v>5449360</v>
      </c>
      <c r="R42" s="14">
        <v>4067336</v>
      </c>
      <c r="S42" s="14">
        <v>3545192</v>
      </c>
      <c r="T42" s="14">
        <v>2813776</v>
      </c>
      <c r="U42" s="14">
        <v>4608128</v>
      </c>
      <c r="V42" s="14">
        <v>5053608</v>
      </c>
      <c r="W42" s="14">
        <v>4141928</v>
      </c>
      <c r="X42" s="14">
        <v>1754984</v>
      </c>
      <c r="Y42" s="14">
        <v>1373736</v>
      </c>
      <c r="Z42" s="14">
        <v>2272984</v>
      </c>
      <c r="AA42" s="14">
        <v>3578344</v>
      </c>
      <c r="AB42" s="13">
        <f t="shared" si="1"/>
        <v>43008504</v>
      </c>
    </row>
    <row r="43" spans="1:28" x14ac:dyDescent="0.3">
      <c r="A43" s="11">
        <v>37</v>
      </c>
      <c r="B43" s="12" t="s">
        <v>547</v>
      </c>
      <c r="C43" s="14">
        <v>1874</v>
      </c>
      <c r="D43" s="14">
        <v>1974</v>
      </c>
      <c r="E43" s="14">
        <v>1550</v>
      </c>
      <c r="F43" s="14">
        <v>1500</v>
      </c>
      <c r="G43" s="14">
        <v>1214</v>
      </c>
      <c r="H43" s="14">
        <v>1803</v>
      </c>
      <c r="I43" s="14">
        <v>1823</v>
      </c>
      <c r="J43" s="14">
        <v>1770</v>
      </c>
      <c r="K43" s="14">
        <v>1861</v>
      </c>
      <c r="L43" s="14">
        <v>1905</v>
      </c>
      <c r="M43" s="14">
        <v>2112</v>
      </c>
      <c r="N43" s="14">
        <v>1805</v>
      </c>
      <c r="O43" s="13">
        <f t="shared" si="0"/>
        <v>21191</v>
      </c>
      <c r="P43" s="14">
        <v>4171524</v>
      </c>
      <c r="Q43" s="14">
        <v>4394124</v>
      </c>
      <c r="R43" s="14">
        <v>3450300</v>
      </c>
      <c r="S43" s="14">
        <v>3339000</v>
      </c>
      <c r="T43" s="14">
        <v>2702364</v>
      </c>
      <c r="U43" s="14">
        <v>4013478</v>
      </c>
      <c r="V43" s="14">
        <v>4057998</v>
      </c>
      <c r="W43" s="14">
        <v>3940020</v>
      </c>
      <c r="X43" s="14">
        <v>4142586</v>
      </c>
      <c r="Y43" s="14">
        <v>4240530</v>
      </c>
      <c r="Z43" s="14">
        <v>4701312</v>
      </c>
      <c r="AA43" s="14">
        <v>4017930</v>
      </c>
      <c r="AB43" s="13">
        <f t="shared" si="1"/>
        <v>47171166</v>
      </c>
    </row>
    <row r="44" spans="1:28" x14ac:dyDescent="0.3">
      <c r="A44" s="11">
        <v>38</v>
      </c>
      <c r="B44" s="12" t="s">
        <v>452</v>
      </c>
      <c r="C44" s="14">
        <v>528</v>
      </c>
      <c r="D44" s="14">
        <v>641</v>
      </c>
      <c r="E44" s="14">
        <v>459</v>
      </c>
      <c r="F44" s="14">
        <v>434</v>
      </c>
      <c r="G44" s="14">
        <v>279</v>
      </c>
      <c r="H44" s="14">
        <v>460</v>
      </c>
      <c r="I44" s="14">
        <v>444</v>
      </c>
      <c r="J44" s="14">
        <v>347</v>
      </c>
      <c r="K44" s="14">
        <v>115</v>
      </c>
      <c r="L44" s="14">
        <v>110</v>
      </c>
      <c r="M44" s="14">
        <v>166</v>
      </c>
      <c r="N44" s="14">
        <v>459</v>
      </c>
      <c r="O44" s="13">
        <f t="shared" si="0"/>
        <v>4442</v>
      </c>
      <c r="P44" s="14">
        <v>1094016</v>
      </c>
      <c r="Q44" s="14">
        <v>1328152</v>
      </c>
      <c r="R44" s="14">
        <v>951048</v>
      </c>
      <c r="S44" s="14">
        <v>899248</v>
      </c>
      <c r="T44" s="14">
        <v>578088</v>
      </c>
      <c r="U44" s="14">
        <v>953120</v>
      </c>
      <c r="V44" s="14">
        <v>919968</v>
      </c>
      <c r="W44" s="14">
        <v>718984</v>
      </c>
      <c r="X44" s="14">
        <v>238280</v>
      </c>
      <c r="Y44" s="14">
        <v>227920</v>
      </c>
      <c r="Z44" s="14">
        <v>343952</v>
      </c>
      <c r="AA44" s="14">
        <v>951048</v>
      </c>
      <c r="AB44" s="13">
        <f t="shared" si="1"/>
        <v>9203824</v>
      </c>
    </row>
    <row r="45" spans="1:28" x14ac:dyDescent="0.3">
      <c r="A45" s="11">
        <v>39</v>
      </c>
      <c r="B45" s="12" t="s">
        <v>378</v>
      </c>
      <c r="C45" s="14">
        <v>176</v>
      </c>
      <c r="D45" s="14">
        <v>215</v>
      </c>
      <c r="E45" s="14">
        <v>167</v>
      </c>
      <c r="F45" s="14">
        <v>122</v>
      </c>
      <c r="G45" s="14">
        <v>90</v>
      </c>
      <c r="H45" s="14">
        <v>148</v>
      </c>
      <c r="I45" s="14">
        <v>162</v>
      </c>
      <c r="J45" s="14">
        <v>149</v>
      </c>
      <c r="K45" s="14">
        <v>8</v>
      </c>
      <c r="L45" s="14">
        <v>7</v>
      </c>
      <c r="M45" s="14">
        <v>60</v>
      </c>
      <c r="N45" s="14">
        <v>146</v>
      </c>
      <c r="O45" s="13">
        <f t="shared" si="0"/>
        <v>1450</v>
      </c>
      <c r="P45" s="14">
        <v>364672</v>
      </c>
      <c r="Q45" s="14">
        <v>445480</v>
      </c>
      <c r="R45" s="14">
        <v>346024</v>
      </c>
      <c r="S45" s="14">
        <v>252784</v>
      </c>
      <c r="T45" s="14">
        <v>186480</v>
      </c>
      <c r="U45" s="14">
        <v>306656</v>
      </c>
      <c r="V45" s="14">
        <v>335664</v>
      </c>
      <c r="W45" s="14">
        <v>308728</v>
      </c>
      <c r="X45" s="14">
        <v>16576</v>
      </c>
      <c r="Y45" s="14">
        <v>14504</v>
      </c>
      <c r="Z45" s="14">
        <v>124320</v>
      </c>
      <c r="AA45" s="14">
        <v>302512</v>
      </c>
      <c r="AB45" s="13">
        <f t="shared" si="1"/>
        <v>3004400</v>
      </c>
    </row>
    <row r="46" spans="1:28" x14ac:dyDescent="0.3">
      <c r="A46" s="11">
        <v>40</v>
      </c>
      <c r="B46" s="12" t="s">
        <v>243</v>
      </c>
      <c r="C46" s="14">
        <v>15</v>
      </c>
      <c r="D46" s="14">
        <v>28</v>
      </c>
      <c r="E46" s="14">
        <v>37</v>
      </c>
      <c r="F46" s="14">
        <v>19</v>
      </c>
      <c r="G46" s="14">
        <v>27</v>
      </c>
      <c r="H46" s="14">
        <v>31</v>
      </c>
      <c r="I46" s="14">
        <v>37</v>
      </c>
      <c r="J46" s="14">
        <v>12</v>
      </c>
      <c r="K46" s="14">
        <v>14</v>
      </c>
      <c r="L46" s="14">
        <v>18</v>
      </c>
      <c r="M46" s="14">
        <v>22</v>
      </c>
      <c r="N46" s="14">
        <v>24</v>
      </c>
      <c r="O46" s="13">
        <f t="shared" si="0"/>
        <v>284</v>
      </c>
      <c r="P46" s="14">
        <v>33390</v>
      </c>
      <c r="Q46" s="14">
        <v>62328</v>
      </c>
      <c r="R46" s="14">
        <v>82362</v>
      </c>
      <c r="S46" s="14">
        <v>42294</v>
      </c>
      <c r="T46" s="14">
        <v>60102</v>
      </c>
      <c r="U46" s="14">
        <v>69006</v>
      </c>
      <c r="V46" s="14">
        <v>82362</v>
      </c>
      <c r="W46" s="14">
        <v>26712</v>
      </c>
      <c r="X46" s="14">
        <v>31164</v>
      </c>
      <c r="Y46" s="14">
        <v>40068</v>
      </c>
      <c r="Z46" s="14">
        <v>48972</v>
      </c>
      <c r="AA46" s="14">
        <v>53424</v>
      </c>
      <c r="AB46" s="13">
        <f t="shared" si="1"/>
        <v>632184</v>
      </c>
    </row>
    <row r="47" spans="1:28" x14ac:dyDescent="0.3">
      <c r="A47" s="11">
        <v>41</v>
      </c>
      <c r="B47" s="12" t="s">
        <v>280</v>
      </c>
      <c r="C47" s="14"/>
      <c r="D47" s="14">
        <v>7</v>
      </c>
      <c r="E47" s="14"/>
      <c r="F47" s="14"/>
      <c r="G47" s="14">
        <v>6</v>
      </c>
      <c r="H47" s="14"/>
      <c r="I47" s="14"/>
      <c r="J47" s="14">
        <v>6</v>
      </c>
      <c r="K47" s="14"/>
      <c r="L47" s="14"/>
      <c r="M47" s="14"/>
      <c r="N47" s="14">
        <v>7</v>
      </c>
      <c r="O47" s="13">
        <f t="shared" si="0"/>
        <v>26</v>
      </c>
      <c r="P47" s="14"/>
      <c r="Q47" s="14">
        <v>15582</v>
      </c>
      <c r="R47" s="14"/>
      <c r="S47" s="14"/>
      <c r="T47" s="14">
        <v>13356</v>
      </c>
      <c r="U47" s="14"/>
      <c r="V47" s="14"/>
      <c r="W47" s="14">
        <v>13356</v>
      </c>
      <c r="X47" s="14"/>
      <c r="Y47" s="14"/>
      <c r="Z47" s="14"/>
      <c r="AA47" s="14">
        <v>15582</v>
      </c>
      <c r="AB47" s="13">
        <f t="shared" si="1"/>
        <v>57876</v>
      </c>
    </row>
    <row r="48" spans="1:28" x14ac:dyDescent="0.3">
      <c r="A48" s="11">
        <v>42</v>
      </c>
      <c r="B48" s="12" t="s">
        <v>230</v>
      </c>
      <c r="C48" s="14">
        <v>549</v>
      </c>
      <c r="D48" s="14">
        <v>539</v>
      </c>
      <c r="E48" s="14">
        <v>458</v>
      </c>
      <c r="F48" s="14">
        <v>512</v>
      </c>
      <c r="G48" s="14">
        <v>499</v>
      </c>
      <c r="H48" s="14">
        <v>608</v>
      </c>
      <c r="I48" s="14">
        <v>719</v>
      </c>
      <c r="J48" s="14">
        <v>753</v>
      </c>
      <c r="K48" s="14">
        <v>756</v>
      </c>
      <c r="L48" s="14">
        <v>692</v>
      </c>
      <c r="M48" s="14">
        <v>689</v>
      </c>
      <c r="N48" s="14">
        <v>631</v>
      </c>
      <c r="O48" s="13">
        <f t="shared" si="0"/>
        <v>7405</v>
      </c>
      <c r="P48" s="14">
        <v>1222074</v>
      </c>
      <c r="Q48" s="14">
        <v>1199814</v>
      </c>
      <c r="R48" s="14">
        <v>1019508</v>
      </c>
      <c r="S48" s="14">
        <v>1139712</v>
      </c>
      <c r="T48" s="14">
        <v>1110774</v>
      </c>
      <c r="U48" s="14">
        <v>1353408</v>
      </c>
      <c r="V48" s="14">
        <v>1600494</v>
      </c>
      <c r="W48" s="14">
        <v>1676178</v>
      </c>
      <c r="X48" s="14">
        <v>1682856</v>
      </c>
      <c r="Y48" s="14">
        <v>1540392</v>
      </c>
      <c r="Z48" s="14">
        <v>1533714</v>
      </c>
      <c r="AA48" s="14">
        <v>1404606</v>
      </c>
      <c r="AB48" s="13">
        <f t="shared" si="1"/>
        <v>16483530</v>
      </c>
    </row>
    <row r="49" spans="1:28" x14ac:dyDescent="0.3">
      <c r="A49" s="11">
        <v>43</v>
      </c>
      <c r="B49" s="12" t="s">
        <v>453</v>
      </c>
      <c r="C49" s="14">
        <v>1739</v>
      </c>
      <c r="D49" s="14">
        <v>1930</v>
      </c>
      <c r="E49" s="14">
        <v>1633</v>
      </c>
      <c r="F49" s="14">
        <v>1594</v>
      </c>
      <c r="G49" s="14">
        <v>1113</v>
      </c>
      <c r="H49" s="14">
        <v>1718</v>
      </c>
      <c r="I49" s="14">
        <v>1762</v>
      </c>
      <c r="J49" s="14">
        <v>1527</v>
      </c>
      <c r="K49" s="14">
        <v>763</v>
      </c>
      <c r="L49" s="14">
        <v>684</v>
      </c>
      <c r="M49" s="14">
        <v>850</v>
      </c>
      <c r="N49" s="14">
        <v>999</v>
      </c>
      <c r="O49" s="13">
        <f t="shared" si="0"/>
        <v>16312</v>
      </c>
      <c r="P49" s="14">
        <v>3603208</v>
      </c>
      <c r="Q49" s="14">
        <v>3998960</v>
      </c>
      <c r="R49" s="14">
        <v>3383576</v>
      </c>
      <c r="S49" s="14">
        <v>3302768</v>
      </c>
      <c r="T49" s="14">
        <v>2306136</v>
      </c>
      <c r="U49" s="14">
        <v>3559696</v>
      </c>
      <c r="V49" s="14">
        <v>3650864</v>
      </c>
      <c r="W49" s="14">
        <v>3163944</v>
      </c>
      <c r="X49" s="14">
        <v>1580936</v>
      </c>
      <c r="Y49" s="14">
        <v>1417248</v>
      </c>
      <c r="Z49" s="14">
        <v>1761200</v>
      </c>
      <c r="AA49" s="14">
        <v>2069928</v>
      </c>
      <c r="AB49" s="13">
        <f t="shared" si="1"/>
        <v>33798464</v>
      </c>
    </row>
    <row r="50" spans="1:28" x14ac:dyDescent="0.3">
      <c r="A50" s="11">
        <v>44</v>
      </c>
      <c r="B50" s="12" t="s">
        <v>251</v>
      </c>
      <c r="C50" s="14">
        <v>23</v>
      </c>
      <c r="D50" s="14">
        <v>30</v>
      </c>
      <c r="E50" s="14">
        <v>19</v>
      </c>
      <c r="F50" s="14">
        <v>10</v>
      </c>
      <c r="G50" s="14">
        <v>16</v>
      </c>
      <c r="H50" s="14">
        <v>42</v>
      </c>
      <c r="I50" s="14">
        <v>14</v>
      </c>
      <c r="J50" s="14">
        <v>6</v>
      </c>
      <c r="K50" s="14">
        <v>13</v>
      </c>
      <c r="L50" s="14">
        <v>15</v>
      </c>
      <c r="M50" s="14">
        <v>11</v>
      </c>
      <c r="N50" s="14">
        <v>9</v>
      </c>
      <c r="O50" s="13">
        <f t="shared" si="0"/>
        <v>208</v>
      </c>
      <c r="P50" s="14">
        <v>49658</v>
      </c>
      <c r="Q50" s="14">
        <v>66780</v>
      </c>
      <c r="R50" s="14">
        <v>42294</v>
      </c>
      <c r="S50" s="14">
        <v>22260</v>
      </c>
      <c r="T50" s="14">
        <v>35616</v>
      </c>
      <c r="U50" s="14">
        <v>93492</v>
      </c>
      <c r="V50" s="14">
        <v>31164</v>
      </c>
      <c r="W50" s="14">
        <v>13356</v>
      </c>
      <c r="X50" s="14">
        <v>28938</v>
      </c>
      <c r="Y50" s="14">
        <v>33390</v>
      </c>
      <c r="Z50" s="14">
        <v>24486</v>
      </c>
      <c r="AA50" s="14">
        <v>20034</v>
      </c>
      <c r="AB50" s="13">
        <f t="shared" si="1"/>
        <v>461468</v>
      </c>
    </row>
    <row r="51" spans="1:28" x14ac:dyDescent="0.3">
      <c r="A51" s="11">
        <v>45</v>
      </c>
      <c r="B51" s="12" t="s">
        <v>311</v>
      </c>
      <c r="C51" s="14">
        <v>5284</v>
      </c>
      <c r="D51" s="14">
        <v>5808</v>
      </c>
      <c r="E51" s="14">
        <v>5039</v>
      </c>
      <c r="F51" s="14">
        <v>4839</v>
      </c>
      <c r="G51" s="14">
        <v>4582</v>
      </c>
      <c r="H51" s="14">
        <v>5164</v>
      </c>
      <c r="I51" s="14">
        <v>5307</v>
      </c>
      <c r="J51" s="14">
        <v>5570</v>
      </c>
      <c r="K51" s="14">
        <v>5200</v>
      </c>
      <c r="L51" s="14">
        <v>5206</v>
      </c>
      <c r="M51" s="14">
        <v>5436</v>
      </c>
      <c r="N51" s="14">
        <v>4920</v>
      </c>
      <c r="O51" s="13">
        <f t="shared" si="0"/>
        <v>62355</v>
      </c>
      <c r="P51" s="14">
        <v>11762184</v>
      </c>
      <c r="Q51" s="14">
        <v>12928608</v>
      </c>
      <c r="R51" s="14">
        <v>11216814</v>
      </c>
      <c r="S51" s="14">
        <v>10771614</v>
      </c>
      <c r="T51" s="14">
        <v>10199532</v>
      </c>
      <c r="U51" s="14">
        <v>11495064</v>
      </c>
      <c r="V51" s="14">
        <v>11813382</v>
      </c>
      <c r="W51" s="14">
        <v>12398820</v>
      </c>
      <c r="X51" s="14">
        <v>11575200</v>
      </c>
      <c r="Y51" s="14">
        <v>11588556</v>
      </c>
      <c r="Z51" s="14">
        <v>12100536</v>
      </c>
      <c r="AA51" s="14">
        <v>10951920</v>
      </c>
      <c r="AB51" s="13">
        <f t="shared" si="1"/>
        <v>138802230</v>
      </c>
    </row>
    <row r="52" spans="1:28" x14ac:dyDescent="0.3">
      <c r="A52" s="11">
        <v>46</v>
      </c>
      <c r="B52" s="12" t="s">
        <v>310</v>
      </c>
      <c r="C52" s="14">
        <v>458</v>
      </c>
      <c r="D52" s="14">
        <v>1014</v>
      </c>
      <c r="E52" s="14">
        <v>850</v>
      </c>
      <c r="F52" s="14">
        <v>468</v>
      </c>
      <c r="G52" s="14">
        <v>411</v>
      </c>
      <c r="H52" s="14">
        <v>522</v>
      </c>
      <c r="I52" s="14">
        <v>406</v>
      </c>
      <c r="J52" s="14">
        <v>509</v>
      </c>
      <c r="K52" s="14">
        <v>525</v>
      </c>
      <c r="L52" s="14">
        <v>550</v>
      </c>
      <c r="M52" s="14">
        <v>543</v>
      </c>
      <c r="N52" s="14">
        <v>497</v>
      </c>
      <c r="O52" s="13">
        <f t="shared" si="0"/>
        <v>6753</v>
      </c>
      <c r="P52" s="14">
        <v>948976</v>
      </c>
      <c r="Q52" s="14">
        <v>2101008</v>
      </c>
      <c r="R52" s="14">
        <v>1761200</v>
      </c>
      <c r="S52" s="14">
        <v>969696</v>
      </c>
      <c r="T52" s="14">
        <v>851592</v>
      </c>
      <c r="U52" s="14">
        <v>1081584</v>
      </c>
      <c r="V52" s="14">
        <v>841232</v>
      </c>
      <c r="W52" s="14">
        <v>1054648</v>
      </c>
      <c r="X52" s="14">
        <v>1087800</v>
      </c>
      <c r="Y52" s="14">
        <v>1139600</v>
      </c>
      <c r="Z52" s="14">
        <v>1125096</v>
      </c>
      <c r="AA52" s="14">
        <v>1029784</v>
      </c>
      <c r="AB52" s="13">
        <f t="shared" si="1"/>
        <v>13992216</v>
      </c>
    </row>
    <row r="53" spans="1:28" x14ac:dyDescent="0.3">
      <c r="A53" s="11">
        <v>47</v>
      </c>
      <c r="B53" s="12" t="s">
        <v>534</v>
      </c>
      <c r="C53" s="14">
        <v>17</v>
      </c>
      <c r="D53" s="14">
        <v>15</v>
      </c>
      <c r="E53" s="14">
        <v>13</v>
      </c>
      <c r="F53" s="14">
        <v>12</v>
      </c>
      <c r="G53" s="14">
        <v>25</v>
      </c>
      <c r="H53" s="14">
        <v>38</v>
      </c>
      <c r="I53" s="14">
        <v>26</v>
      </c>
      <c r="J53" s="14">
        <v>23</v>
      </c>
      <c r="K53" s="14">
        <v>10</v>
      </c>
      <c r="L53" s="14">
        <v>11</v>
      </c>
      <c r="M53" s="14"/>
      <c r="N53" s="14">
        <v>10</v>
      </c>
      <c r="O53" s="13">
        <f t="shared" si="0"/>
        <v>200</v>
      </c>
      <c r="P53" s="14">
        <v>37842</v>
      </c>
      <c r="Q53" s="14">
        <v>33390</v>
      </c>
      <c r="R53" s="14">
        <v>28938</v>
      </c>
      <c r="S53" s="14">
        <v>26712</v>
      </c>
      <c r="T53" s="14">
        <v>55650</v>
      </c>
      <c r="U53" s="14">
        <v>84588</v>
      </c>
      <c r="V53" s="14">
        <v>57876</v>
      </c>
      <c r="W53" s="14">
        <v>51198</v>
      </c>
      <c r="X53" s="14">
        <v>22260</v>
      </c>
      <c r="Y53" s="14">
        <v>24486</v>
      </c>
      <c r="Z53" s="14"/>
      <c r="AA53" s="14">
        <v>22260</v>
      </c>
      <c r="AB53" s="13">
        <f t="shared" si="1"/>
        <v>445200</v>
      </c>
    </row>
    <row r="54" spans="1:28" x14ac:dyDescent="0.3">
      <c r="A54" s="11">
        <v>48</v>
      </c>
      <c r="B54" s="12" t="s">
        <v>441</v>
      </c>
      <c r="C54" s="14">
        <v>513</v>
      </c>
      <c r="D54" s="14">
        <v>582</v>
      </c>
      <c r="E54" s="14">
        <v>497</v>
      </c>
      <c r="F54" s="14">
        <v>385</v>
      </c>
      <c r="G54" s="14">
        <v>258</v>
      </c>
      <c r="H54" s="14">
        <v>486</v>
      </c>
      <c r="I54" s="14">
        <v>534</v>
      </c>
      <c r="J54" s="14">
        <v>307</v>
      </c>
      <c r="K54" s="14">
        <v>160</v>
      </c>
      <c r="L54" s="14">
        <v>198</v>
      </c>
      <c r="M54" s="14">
        <v>76</v>
      </c>
      <c r="N54" s="14">
        <v>464</v>
      </c>
      <c r="O54" s="13">
        <f t="shared" si="0"/>
        <v>4460</v>
      </c>
      <c r="P54" s="14">
        <v>1062936</v>
      </c>
      <c r="Q54" s="14">
        <v>1205904</v>
      </c>
      <c r="R54" s="14">
        <v>1029784</v>
      </c>
      <c r="S54" s="14">
        <v>797720</v>
      </c>
      <c r="T54" s="14">
        <v>534576</v>
      </c>
      <c r="U54" s="14">
        <v>1006992</v>
      </c>
      <c r="V54" s="14">
        <v>1106448</v>
      </c>
      <c r="W54" s="14">
        <v>636104</v>
      </c>
      <c r="X54" s="14">
        <v>331520</v>
      </c>
      <c r="Y54" s="14">
        <v>410256</v>
      </c>
      <c r="Z54" s="14">
        <v>157472</v>
      </c>
      <c r="AA54" s="14">
        <v>961408</v>
      </c>
      <c r="AB54" s="13">
        <f t="shared" si="1"/>
        <v>9241120</v>
      </c>
    </row>
    <row r="55" spans="1:28" x14ac:dyDescent="0.3">
      <c r="A55" s="11">
        <v>49</v>
      </c>
      <c r="B55" s="12" t="s">
        <v>252</v>
      </c>
      <c r="C55" s="14">
        <v>8</v>
      </c>
      <c r="D55" s="14">
        <v>44</v>
      </c>
      <c r="E55" s="14">
        <v>15</v>
      </c>
      <c r="F55" s="14">
        <v>33</v>
      </c>
      <c r="G55" s="14">
        <v>66</v>
      </c>
      <c r="H55" s="14">
        <v>118</v>
      </c>
      <c r="I55" s="14">
        <v>16</v>
      </c>
      <c r="J55" s="14">
        <v>48</v>
      </c>
      <c r="K55" s="14">
        <v>26</v>
      </c>
      <c r="L55" s="14">
        <v>20</v>
      </c>
      <c r="M55" s="14">
        <v>22</v>
      </c>
      <c r="N55" s="14">
        <v>28</v>
      </c>
      <c r="O55" s="13">
        <f t="shared" si="0"/>
        <v>444</v>
      </c>
      <c r="P55" s="14">
        <v>17808</v>
      </c>
      <c r="Q55" s="14">
        <v>97944</v>
      </c>
      <c r="R55" s="14">
        <v>33390</v>
      </c>
      <c r="S55" s="14">
        <v>73458</v>
      </c>
      <c r="T55" s="14">
        <v>146916</v>
      </c>
      <c r="U55" s="14">
        <v>262668</v>
      </c>
      <c r="V55" s="14">
        <v>35616</v>
      </c>
      <c r="W55" s="14">
        <v>106848</v>
      </c>
      <c r="X55" s="14">
        <v>57876</v>
      </c>
      <c r="Y55" s="14">
        <v>44520</v>
      </c>
      <c r="Z55" s="14">
        <v>48972</v>
      </c>
      <c r="AA55" s="14">
        <v>62328</v>
      </c>
      <c r="AB55" s="13">
        <f t="shared" si="1"/>
        <v>988344</v>
      </c>
    </row>
    <row r="56" spans="1:28" x14ac:dyDescent="0.3">
      <c r="A56" s="11">
        <v>50</v>
      </c>
      <c r="B56" s="12" t="s">
        <v>369</v>
      </c>
      <c r="C56" s="14">
        <v>17</v>
      </c>
      <c r="D56" s="14">
        <v>21</v>
      </c>
      <c r="E56" s="14">
        <v>18</v>
      </c>
      <c r="F56" s="14">
        <v>17</v>
      </c>
      <c r="G56" s="14">
        <v>15</v>
      </c>
      <c r="H56" s="14">
        <v>16</v>
      </c>
      <c r="I56" s="14">
        <v>15</v>
      </c>
      <c r="J56" s="14">
        <v>7</v>
      </c>
      <c r="K56" s="14"/>
      <c r="L56" s="14"/>
      <c r="M56" s="14"/>
      <c r="N56" s="14"/>
      <c r="O56" s="13">
        <f t="shared" si="0"/>
        <v>126</v>
      </c>
      <c r="P56" s="14">
        <v>35224</v>
      </c>
      <c r="Q56" s="14">
        <v>43512</v>
      </c>
      <c r="R56" s="14">
        <v>37296</v>
      </c>
      <c r="S56" s="14">
        <v>35224</v>
      </c>
      <c r="T56" s="14">
        <v>31080</v>
      </c>
      <c r="U56" s="14">
        <v>33152</v>
      </c>
      <c r="V56" s="14">
        <v>31080</v>
      </c>
      <c r="W56" s="14">
        <v>14504</v>
      </c>
      <c r="X56" s="14"/>
      <c r="Y56" s="14"/>
      <c r="Z56" s="14"/>
      <c r="AA56" s="14"/>
      <c r="AB56" s="13">
        <f t="shared" si="1"/>
        <v>261072</v>
      </c>
    </row>
    <row r="57" spans="1:28" x14ac:dyDescent="0.3">
      <c r="A57" s="11">
        <v>51</v>
      </c>
      <c r="B57" s="12" t="s">
        <v>406</v>
      </c>
      <c r="C57" s="14">
        <v>358</v>
      </c>
      <c r="D57" s="14">
        <v>463</v>
      </c>
      <c r="E57" s="14">
        <v>327</v>
      </c>
      <c r="F57" s="14">
        <v>296</v>
      </c>
      <c r="G57" s="14">
        <v>207</v>
      </c>
      <c r="H57" s="14">
        <v>344</v>
      </c>
      <c r="I57" s="14">
        <v>371</v>
      </c>
      <c r="J57" s="14">
        <v>254</v>
      </c>
      <c r="K57" s="14">
        <v>86</v>
      </c>
      <c r="L57" s="14">
        <v>88</v>
      </c>
      <c r="M57" s="14">
        <v>101</v>
      </c>
      <c r="N57" s="14">
        <v>275</v>
      </c>
      <c r="O57" s="13">
        <f t="shared" si="0"/>
        <v>3170</v>
      </c>
      <c r="P57" s="14">
        <v>741776</v>
      </c>
      <c r="Q57" s="14">
        <v>959336</v>
      </c>
      <c r="R57" s="14">
        <v>677544</v>
      </c>
      <c r="S57" s="14">
        <v>613312</v>
      </c>
      <c r="T57" s="14">
        <v>428904</v>
      </c>
      <c r="U57" s="14">
        <v>712768</v>
      </c>
      <c r="V57" s="14">
        <v>768712</v>
      </c>
      <c r="W57" s="14">
        <v>526288</v>
      </c>
      <c r="X57" s="14">
        <v>178192</v>
      </c>
      <c r="Y57" s="14">
        <v>182336</v>
      </c>
      <c r="Z57" s="14">
        <v>209272</v>
      </c>
      <c r="AA57" s="14">
        <v>569800</v>
      </c>
      <c r="AB57" s="13">
        <f t="shared" si="1"/>
        <v>6568240</v>
      </c>
    </row>
    <row r="58" spans="1:28" x14ac:dyDescent="0.3">
      <c r="A58" s="11">
        <v>52</v>
      </c>
      <c r="B58" s="12" t="s">
        <v>253</v>
      </c>
      <c r="C58" s="14"/>
      <c r="D58" s="14"/>
      <c r="E58" s="14">
        <v>25</v>
      </c>
      <c r="F58" s="14">
        <v>6</v>
      </c>
      <c r="G58" s="14"/>
      <c r="H58" s="14">
        <v>42</v>
      </c>
      <c r="I58" s="14"/>
      <c r="J58" s="14">
        <v>8</v>
      </c>
      <c r="K58" s="14"/>
      <c r="L58" s="14"/>
      <c r="M58" s="14"/>
      <c r="N58" s="14"/>
      <c r="O58" s="13">
        <f t="shared" si="0"/>
        <v>81</v>
      </c>
      <c r="P58" s="14"/>
      <c r="Q58" s="14"/>
      <c r="R58" s="14">
        <v>55650</v>
      </c>
      <c r="S58" s="14">
        <v>13356</v>
      </c>
      <c r="T58" s="14"/>
      <c r="U58" s="14">
        <v>93492</v>
      </c>
      <c r="V58" s="14"/>
      <c r="W58" s="14">
        <v>17808</v>
      </c>
      <c r="X58" s="14"/>
      <c r="Y58" s="14"/>
      <c r="Z58" s="14"/>
      <c r="AA58" s="14"/>
      <c r="AB58" s="13">
        <f t="shared" si="1"/>
        <v>180306</v>
      </c>
    </row>
    <row r="59" spans="1:28" x14ac:dyDescent="0.3">
      <c r="A59" s="11">
        <v>53</v>
      </c>
      <c r="B59" s="12" t="s">
        <v>423</v>
      </c>
      <c r="C59" s="14">
        <v>394</v>
      </c>
      <c r="D59" s="14">
        <v>592</v>
      </c>
      <c r="E59" s="14">
        <v>552</v>
      </c>
      <c r="F59" s="14">
        <v>423</v>
      </c>
      <c r="G59" s="14">
        <v>331</v>
      </c>
      <c r="H59" s="14">
        <v>460</v>
      </c>
      <c r="I59" s="14">
        <v>525</v>
      </c>
      <c r="J59" s="14">
        <v>369</v>
      </c>
      <c r="K59" s="14">
        <v>226</v>
      </c>
      <c r="L59" s="14">
        <v>217</v>
      </c>
      <c r="M59" s="14">
        <v>319</v>
      </c>
      <c r="N59" s="14">
        <v>555</v>
      </c>
      <c r="O59" s="13">
        <f t="shared" si="0"/>
        <v>4963</v>
      </c>
      <c r="P59" s="14">
        <v>816368</v>
      </c>
      <c r="Q59" s="14">
        <v>1226624</v>
      </c>
      <c r="R59" s="14">
        <v>1143744</v>
      </c>
      <c r="S59" s="14">
        <v>876456</v>
      </c>
      <c r="T59" s="14">
        <v>685832</v>
      </c>
      <c r="U59" s="14">
        <v>953120</v>
      </c>
      <c r="V59" s="14">
        <v>1087800</v>
      </c>
      <c r="W59" s="14">
        <v>764568</v>
      </c>
      <c r="X59" s="14">
        <v>468272</v>
      </c>
      <c r="Y59" s="14">
        <v>449624</v>
      </c>
      <c r="Z59" s="14">
        <v>660968</v>
      </c>
      <c r="AA59" s="14">
        <v>1149960</v>
      </c>
      <c r="AB59" s="13">
        <f t="shared" si="1"/>
        <v>10283336</v>
      </c>
    </row>
    <row r="60" spans="1:28" x14ac:dyDescent="0.3">
      <c r="A60" s="11">
        <v>54</v>
      </c>
      <c r="B60" s="12" t="s">
        <v>370</v>
      </c>
      <c r="C60" s="14">
        <v>1765</v>
      </c>
      <c r="D60" s="14">
        <v>2252</v>
      </c>
      <c r="E60" s="14">
        <v>1617</v>
      </c>
      <c r="F60" s="14">
        <v>1564</v>
      </c>
      <c r="G60" s="14">
        <v>1166</v>
      </c>
      <c r="H60" s="14">
        <v>1741</v>
      </c>
      <c r="I60" s="14">
        <v>1824</v>
      </c>
      <c r="J60" s="14">
        <v>1753</v>
      </c>
      <c r="K60" s="14">
        <v>1026</v>
      </c>
      <c r="L60" s="14">
        <v>1507</v>
      </c>
      <c r="M60" s="14">
        <v>1451</v>
      </c>
      <c r="N60" s="14">
        <v>1475</v>
      </c>
      <c r="O60" s="13">
        <f t="shared" si="0"/>
        <v>19141</v>
      </c>
      <c r="P60" s="14">
        <v>3657080</v>
      </c>
      <c r="Q60" s="14">
        <v>4666144</v>
      </c>
      <c r="R60" s="14">
        <v>3350424</v>
      </c>
      <c r="S60" s="14">
        <v>3240608</v>
      </c>
      <c r="T60" s="14">
        <v>2415952</v>
      </c>
      <c r="U60" s="14">
        <v>3607352</v>
      </c>
      <c r="V60" s="14">
        <v>3779328</v>
      </c>
      <c r="W60" s="14">
        <v>3632216</v>
      </c>
      <c r="X60" s="14">
        <v>2125872</v>
      </c>
      <c r="Y60" s="14">
        <v>3122504</v>
      </c>
      <c r="Z60" s="14">
        <v>3006472</v>
      </c>
      <c r="AA60" s="14">
        <v>3056200</v>
      </c>
      <c r="AB60" s="13">
        <f t="shared" si="1"/>
        <v>39660152</v>
      </c>
    </row>
    <row r="61" spans="1:28" x14ac:dyDescent="0.3">
      <c r="A61" s="11">
        <v>55</v>
      </c>
      <c r="B61" s="12" t="s">
        <v>254</v>
      </c>
      <c r="C61" s="14">
        <v>11</v>
      </c>
      <c r="D61" s="14">
        <v>31</v>
      </c>
      <c r="E61" s="14">
        <v>22</v>
      </c>
      <c r="F61" s="14">
        <v>17</v>
      </c>
      <c r="G61" s="14">
        <v>29</v>
      </c>
      <c r="H61" s="14">
        <v>61</v>
      </c>
      <c r="I61" s="14">
        <v>18</v>
      </c>
      <c r="J61" s="14">
        <v>13</v>
      </c>
      <c r="K61" s="14">
        <v>29</v>
      </c>
      <c r="L61" s="14">
        <v>20</v>
      </c>
      <c r="M61" s="14">
        <v>18</v>
      </c>
      <c r="N61" s="14">
        <v>23</v>
      </c>
      <c r="O61" s="13">
        <f t="shared" si="0"/>
        <v>292</v>
      </c>
      <c r="P61" s="14">
        <v>24486</v>
      </c>
      <c r="Q61" s="14">
        <v>69006</v>
      </c>
      <c r="R61" s="14">
        <v>48972</v>
      </c>
      <c r="S61" s="14">
        <v>37842</v>
      </c>
      <c r="T61" s="14">
        <v>64554</v>
      </c>
      <c r="U61" s="14">
        <v>135786</v>
      </c>
      <c r="V61" s="14">
        <v>40068</v>
      </c>
      <c r="W61" s="14">
        <v>28938</v>
      </c>
      <c r="X61" s="14">
        <v>64554</v>
      </c>
      <c r="Y61" s="14">
        <v>44520</v>
      </c>
      <c r="Z61" s="14">
        <v>40068</v>
      </c>
      <c r="AA61" s="14">
        <v>51198</v>
      </c>
      <c r="AB61" s="13">
        <f t="shared" si="1"/>
        <v>649992</v>
      </c>
    </row>
    <row r="62" spans="1:28" x14ac:dyDescent="0.3">
      <c r="A62" s="11">
        <v>56</v>
      </c>
      <c r="B62" s="12" t="s">
        <v>480</v>
      </c>
      <c r="C62" s="14">
        <v>404</v>
      </c>
      <c r="D62" s="14">
        <v>459</v>
      </c>
      <c r="E62" s="14">
        <v>365</v>
      </c>
      <c r="F62" s="14">
        <v>329</v>
      </c>
      <c r="G62" s="14">
        <v>310</v>
      </c>
      <c r="H62" s="14">
        <v>390</v>
      </c>
      <c r="I62" s="14">
        <v>453</v>
      </c>
      <c r="J62" s="14">
        <v>431</v>
      </c>
      <c r="K62" s="14">
        <v>381</v>
      </c>
      <c r="L62" s="14">
        <v>385</v>
      </c>
      <c r="M62" s="14">
        <v>392</v>
      </c>
      <c r="N62" s="14">
        <v>394</v>
      </c>
      <c r="O62" s="13">
        <f t="shared" si="0"/>
        <v>4693</v>
      </c>
      <c r="P62" s="14">
        <v>899304</v>
      </c>
      <c r="Q62" s="14">
        <v>1021734</v>
      </c>
      <c r="R62" s="14">
        <v>812490</v>
      </c>
      <c r="S62" s="14">
        <v>732354</v>
      </c>
      <c r="T62" s="14">
        <v>690060</v>
      </c>
      <c r="U62" s="14">
        <v>868140</v>
      </c>
      <c r="V62" s="14">
        <v>1008378</v>
      </c>
      <c r="W62" s="14">
        <v>959406</v>
      </c>
      <c r="X62" s="14">
        <v>848106</v>
      </c>
      <c r="Y62" s="14">
        <v>857010</v>
      </c>
      <c r="Z62" s="14">
        <v>872592</v>
      </c>
      <c r="AA62" s="14">
        <v>877044</v>
      </c>
      <c r="AB62" s="13">
        <f t="shared" si="1"/>
        <v>10446618</v>
      </c>
    </row>
    <row r="63" spans="1:28" x14ac:dyDescent="0.3">
      <c r="A63" s="11">
        <v>57</v>
      </c>
      <c r="B63" s="12" t="s">
        <v>469</v>
      </c>
      <c r="C63" s="14">
        <v>3734</v>
      </c>
      <c r="D63" s="14">
        <v>3108</v>
      </c>
      <c r="E63" s="14">
        <v>3102</v>
      </c>
      <c r="F63" s="14">
        <v>2923</v>
      </c>
      <c r="G63" s="14">
        <v>2235</v>
      </c>
      <c r="H63" s="14">
        <v>3382</v>
      </c>
      <c r="I63" s="14">
        <v>2964</v>
      </c>
      <c r="J63" s="14">
        <v>1966</v>
      </c>
      <c r="K63" s="14">
        <v>988</v>
      </c>
      <c r="L63" s="14">
        <v>1017</v>
      </c>
      <c r="M63" s="14">
        <v>1115</v>
      </c>
      <c r="N63" s="14">
        <v>2754</v>
      </c>
      <c r="O63" s="13">
        <f t="shared" si="0"/>
        <v>29288</v>
      </c>
      <c r="P63" s="14">
        <v>7736848</v>
      </c>
      <c r="Q63" s="14">
        <v>6439776</v>
      </c>
      <c r="R63" s="14">
        <v>6427344</v>
      </c>
      <c r="S63" s="14">
        <v>6056456</v>
      </c>
      <c r="T63" s="14">
        <v>4630920</v>
      </c>
      <c r="U63" s="14">
        <v>7007504</v>
      </c>
      <c r="V63" s="14">
        <v>6141408</v>
      </c>
      <c r="W63" s="14">
        <v>4073552</v>
      </c>
      <c r="X63" s="14">
        <v>2047136</v>
      </c>
      <c r="Y63" s="14">
        <v>2107224</v>
      </c>
      <c r="Z63" s="14">
        <v>2310280</v>
      </c>
      <c r="AA63" s="14">
        <v>5706288</v>
      </c>
      <c r="AB63" s="13">
        <f t="shared" si="1"/>
        <v>60684736</v>
      </c>
    </row>
    <row r="64" spans="1:28" x14ac:dyDescent="0.3">
      <c r="A64" s="11">
        <v>58</v>
      </c>
      <c r="B64" s="12" t="s">
        <v>470</v>
      </c>
      <c r="C64" s="14">
        <v>1925</v>
      </c>
      <c r="D64" s="14">
        <v>1746</v>
      </c>
      <c r="E64" s="14">
        <v>1860</v>
      </c>
      <c r="F64" s="14">
        <v>1689</v>
      </c>
      <c r="G64" s="14">
        <v>1138</v>
      </c>
      <c r="H64" s="14">
        <v>2067</v>
      </c>
      <c r="I64" s="14">
        <v>2195</v>
      </c>
      <c r="J64" s="14">
        <v>1731</v>
      </c>
      <c r="K64" s="14">
        <v>872</v>
      </c>
      <c r="L64" s="14">
        <v>665</v>
      </c>
      <c r="M64" s="14">
        <v>833</v>
      </c>
      <c r="N64" s="14">
        <v>1966</v>
      </c>
      <c r="O64" s="13">
        <f t="shared" si="0"/>
        <v>18687</v>
      </c>
      <c r="P64" s="14">
        <v>3988600</v>
      </c>
      <c r="Q64" s="14">
        <v>3617712</v>
      </c>
      <c r="R64" s="14">
        <v>3853920</v>
      </c>
      <c r="S64" s="14">
        <v>3499608</v>
      </c>
      <c r="T64" s="14">
        <v>2357936</v>
      </c>
      <c r="U64" s="14">
        <v>4282824</v>
      </c>
      <c r="V64" s="14">
        <v>4548040</v>
      </c>
      <c r="W64" s="14">
        <v>3586632</v>
      </c>
      <c r="X64" s="14">
        <v>1806784</v>
      </c>
      <c r="Y64" s="14">
        <v>1377880</v>
      </c>
      <c r="Z64" s="14">
        <v>1725976</v>
      </c>
      <c r="AA64" s="14">
        <v>4073552</v>
      </c>
      <c r="AB64" s="13">
        <f t="shared" si="1"/>
        <v>38719464</v>
      </c>
    </row>
    <row r="65" spans="1:28" x14ac:dyDescent="0.3">
      <c r="A65" s="11">
        <v>59</v>
      </c>
      <c r="B65" s="12" t="s">
        <v>471</v>
      </c>
      <c r="C65" s="14">
        <v>421</v>
      </c>
      <c r="D65" s="14">
        <v>547</v>
      </c>
      <c r="E65" s="14">
        <v>442</v>
      </c>
      <c r="F65" s="14">
        <v>372</v>
      </c>
      <c r="G65" s="14">
        <v>294</v>
      </c>
      <c r="H65" s="14">
        <v>441</v>
      </c>
      <c r="I65" s="14">
        <v>466</v>
      </c>
      <c r="J65" s="14">
        <v>376</v>
      </c>
      <c r="K65" s="14">
        <v>183</v>
      </c>
      <c r="L65" s="14">
        <v>169</v>
      </c>
      <c r="M65" s="14">
        <v>203</v>
      </c>
      <c r="N65" s="14">
        <v>412</v>
      </c>
      <c r="O65" s="13">
        <f t="shared" si="0"/>
        <v>4326</v>
      </c>
      <c r="P65" s="14">
        <v>872312</v>
      </c>
      <c r="Q65" s="14">
        <v>1133384</v>
      </c>
      <c r="R65" s="14">
        <v>915824</v>
      </c>
      <c r="S65" s="14">
        <v>770784</v>
      </c>
      <c r="T65" s="14">
        <v>609168</v>
      </c>
      <c r="U65" s="14">
        <v>913752</v>
      </c>
      <c r="V65" s="14">
        <v>965552</v>
      </c>
      <c r="W65" s="14">
        <v>779072</v>
      </c>
      <c r="X65" s="14">
        <v>379176</v>
      </c>
      <c r="Y65" s="14">
        <v>350168</v>
      </c>
      <c r="Z65" s="14">
        <v>420616</v>
      </c>
      <c r="AA65" s="14">
        <v>853664</v>
      </c>
      <c r="AB65" s="13">
        <f t="shared" si="1"/>
        <v>8963472</v>
      </c>
    </row>
    <row r="66" spans="1:28" x14ac:dyDescent="0.3">
      <c r="A66" s="11">
        <v>60</v>
      </c>
      <c r="B66" s="12" t="s">
        <v>302</v>
      </c>
      <c r="C66" s="14">
        <v>262</v>
      </c>
      <c r="D66" s="14">
        <v>265</v>
      </c>
      <c r="E66" s="14">
        <v>300</v>
      </c>
      <c r="F66" s="14">
        <v>388</v>
      </c>
      <c r="G66" s="14">
        <v>196</v>
      </c>
      <c r="H66" s="14">
        <v>262</v>
      </c>
      <c r="I66" s="14">
        <v>88</v>
      </c>
      <c r="J66" s="14">
        <v>670</v>
      </c>
      <c r="K66" s="14">
        <v>759</v>
      </c>
      <c r="L66" s="14">
        <v>866</v>
      </c>
      <c r="M66" s="14">
        <v>2123</v>
      </c>
      <c r="N66" s="14">
        <v>1355</v>
      </c>
      <c r="O66" s="13">
        <f t="shared" si="0"/>
        <v>7534</v>
      </c>
      <c r="P66" s="14">
        <v>542864</v>
      </c>
      <c r="Q66" s="14">
        <v>549080</v>
      </c>
      <c r="R66" s="14">
        <v>621600</v>
      </c>
      <c r="S66" s="14">
        <v>803936</v>
      </c>
      <c r="T66" s="14">
        <v>406112</v>
      </c>
      <c r="U66" s="14">
        <v>542864</v>
      </c>
      <c r="V66" s="14">
        <v>182336</v>
      </c>
      <c r="W66" s="14">
        <v>1388240</v>
      </c>
      <c r="X66" s="14">
        <v>1572648</v>
      </c>
      <c r="Y66" s="14">
        <v>1794352</v>
      </c>
      <c r="Z66" s="14">
        <v>4398856</v>
      </c>
      <c r="AA66" s="14">
        <v>2807560</v>
      </c>
      <c r="AB66" s="13">
        <f t="shared" si="1"/>
        <v>15610448</v>
      </c>
    </row>
    <row r="67" spans="1:28" x14ac:dyDescent="0.3">
      <c r="A67" s="11">
        <v>61</v>
      </c>
      <c r="B67" s="12" t="s">
        <v>329</v>
      </c>
      <c r="C67" s="14">
        <v>33</v>
      </c>
      <c r="D67" s="14">
        <v>63</v>
      </c>
      <c r="E67" s="14">
        <v>27</v>
      </c>
      <c r="F67" s="14">
        <v>27</v>
      </c>
      <c r="G67" s="14">
        <v>23</v>
      </c>
      <c r="H67" s="14">
        <v>45</v>
      </c>
      <c r="I67" s="14">
        <v>29</v>
      </c>
      <c r="J67" s="14">
        <v>28</v>
      </c>
      <c r="K67" s="14">
        <v>36</v>
      </c>
      <c r="L67" s="14">
        <v>48</v>
      </c>
      <c r="M67" s="14">
        <v>58</v>
      </c>
      <c r="N67" s="14">
        <v>72</v>
      </c>
      <c r="O67" s="13">
        <f t="shared" si="0"/>
        <v>489</v>
      </c>
      <c r="P67" s="14">
        <v>73458</v>
      </c>
      <c r="Q67" s="14">
        <v>140238</v>
      </c>
      <c r="R67" s="14">
        <v>60102</v>
      </c>
      <c r="S67" s="14">
        <v>60102</v>
      </c>
      <c r="T67" s="14">
        <v>51198</v>
      </c>
      <c r="U67" s="14">
        <v>100170</v>
      </c>
      <c r="V67" s="14">
        <v>64554</v>
      </c>
      <c r="W67" s="14">
        <v>62328</v>
      </c>
      <c r="X67" s="14">
        <v>80136</v>
      </c>
      <c r="Y67" s="14">
        <v>106848</v>
      </c>
      <c r="Z67" s="14">
        <v>129108</v>
      </c>
      <c r="AA67" s="14">
        <v>160272</v>
      </c>
      <c r="AB67" s="13">
        <f t="shared" si="1"/>
        <v>1088514</v>
      </c>
    </row>
    <row r="68" spans="1:28" x14ac:dyDescent="0.3">
      <c r="A68" s="11">
        <v>62</v>
      </c>
      <c r="B68" s="12" t="s">
        <v>361</v>
      </c>
      <c r="C68" s="14">
        <v>340</v>
      </c>
      <c r="D68" s="14"/>
      <c r="E68" s="14"/>
      <c r="F68" s="14">
        <v>12</v>
      </c>
      <c r="G68" s="14">
        <v>343</v>
      </c>
      <c r="H68" s="14">
        <v>590</v>
      </c>
      <c r="I68" s="14">
        <v>603</v>
      </c>
      <c r="J68" s="14">
        <v>502</v>
      </c>
      <c r="K68" s="14">
        <v>241</v>
      </c>
      <c r="L68" s="14">
        <v>278</v>
      </c>
      <c r="M68" s="14">
        <v>336</v>
      </c>
      <c r="N68" s="14">
        <v>627</v>
      </c>
      <c r="O68" s="13">
        <f t="shared" si="0"/>
        <v>3872</v>
      </c>
      <c r="P68" s="14">
        <v>704480</v>
      </c>
      <c r="Q68" s="14"/>
      <c r="R68" s="14"/>
      <c r="S68" s="14">
        <v>24864</v>
      </c>
      <c r="T68" s="14">
        <v>710696</v>
      </c>
      <c r="U68" s="14">
        <v>1222480</v>
      </c>
      <c r="V68" s="14">
        <v>1249416</v>
      </c>
      <c r="W68" s="14">
        <v>1040144</v>
      </c>
      <c r="X68" s="14">
        <v>499352</v>
      </c>
      <c r="Y68" s="14">
        <v>576016</v>
      </c>
      <c r="Z68" s="14">
        <v>696192</v>
      </c>
      <c r="AA68" s="14">
        <v>1299144</v>
      </c>
      <c r="AB68" s="13">
        <f t="shared" si="1"/>
        <v>8022784</v>
      </c>
    </row>
    <row r="69" spans="1:28" x14ac:dyDescent="0.3">
      <c r="A69" s="11">
        <v>63</v>
      </c>
      <c r="B69" s="12" t="s">
        <v>391</v>
      </c>
      <c r="C69" s="14">
        <v>1211</v>
      </c>
      <c r="D69" s="14">
        <v>1066</v>
      </c>
      <c r="E69" s="14">
        <v>1097</v>
      </c>
      <c r="F69" s="14">
        <v>1020</v>
      </c>
      <c r="G69" s="14">
        <v>723</v>
      </c>
      <c r="H69" s="14">
        <v>1236</v>
      </c>
      <c r="I69" s="14">
        <v>1122</v>
      </c>
      <c r="J69" s="14">
        <v>1089</v>
      </c>
      <c r="K69" s="14">
        <v>693</v>
      </c>
      <c r="L69" s="14">
        <v>676</v>
      </c>
      <c r="M69" s="14">
        <v>875</v>
      </c>
      <c r="N69" s="14">
        <v>1198</v>
      </c>
      <c r="O69" s="13">
        <f t="shared" si="0"/>
        <v>12006</v>
      </c>
      <c r="P69" s="14">
        <v>2509192</v>
      </c>
      <c r="Q69" s="14">
        <v>2208752</v>
      </c>
      <c r="R69" s="14">
        <v>2272984</v>
      </c>
      <c r="S69" s="14">
        <v>2113440</v>
      </c>
      <c r="T69" s="14">
        <v>1498056</v>
      </c>
      <c r="U69" s="14">
        <v>2560992</v>
      </c>
      <c r="V69" s="14">
        <v>2324784</v>
      </c>
      <c r="W69" s="14">
        <v>2256408</v>
      </c>
      <c r="X69" s="14">
        <v>1435896</v>
      </c>
      <c r="Y69" s="14">
        <v>1400672</v>
      </c>
      <c r="Z69" s="14">
        <v>1813000</v>
      </c>
      <c r="AA69" s="14">
        <v>2482256</v>
      </c>
      <c r="AB69" s="13">
        <f t="shared" si="1"/>
        <v>24876432</v>
      </c>
    </row>
    <row r="70" spans="1:28" x14ac:dyDescent="0.3">
      <c r="A70" s="11">
        <v>64</v>
      </c>
      <c r="B70" s="12" t="s">
        <v>255</v>
      </c>
      <c r="C70" s="14">
        <v>92</v>
      </c>
      <c r="D70" s="14">
        <v>162</v>
      </c>
      <c r="E70" s="14">
        <v>170</v>
      </c>
      <c r="F70" s="14">
        <v>36</v>
      </c>
      <c r="G70" s="14">
        <v>21</v>
      </c>
      <c r="H70" s="14">
        <v>55</v>
      </c>
      <c r="I70" s="14">
        <v>42</v>
      </c>
      <c r="J70" s="14">
        <v>70</v>
      </c>
      <c r="K70" s="14">
        <v>15</v>
      </c>
      <c r="L70" s="14">
        <v>28</v>
      </c>
      <c r="M70" s="14">
        <v>29</v>
      </c>
      <c r="N70" s="14">
        <v>17</v>
      </c>
      <c r="O70" s="13">
        <f t="shared" si="0"/>
        <v>737</v>
      </c>
      <c r="P70" s="14">
        <v>204792</v>
      </c>
      <c r="Q70" s="14">
        <v>360612</v>
      </c>
      <c r="R70" s="14">
        <v>378420</v>
      </c>
      <c r="S70" s="14">
        <v>80136</v>
      </c>
      <c r="T70" s="14">
        <v>46746</v>
      </c>
      <c r="U70" s="14">
        <v>122430</v>
      </c>
      <c r="V70" s="14">
        <v>93492</v>
      </c>
      <c r="W70" s="14">
        <v>155820</v>
      </c>
      <c r="X70" s="14">
        <v>33390</v>
      </c>
      <c r="Y70" s="14">
        <v>62328</v>
      </c>
      <c r="Z70" s="14">
        <v>64554</v>
      </c>
      <c r="AA70" s="14">
        <v>37842</v>
      </c>
      <c r="AB70" s="13">
        <f t="shared" si="1"/>
        <v>1640562</v>
      </c>
    </row>
    <row r="71" spans="1:28" x14ac:dyDescent="0.3">
      <c r="A71" s="11">
        <v>65</v>
      </c>
      <c r="B71" s="12" t="s">
        <v>225</v>
      </c>
      <c r="C71" s="14">
        <v>2685</v>
      </c>
      <c r="D71" s="14">
        <v>3267</v>
      </c>
      <c r="E71" s="14">
        <v>2604</v>
      </c>
      <c r="F71" s="14">
        <v>2146</v>
      </c>
      <c r="G71" s="14">
        <v>2281</v>
      </c>
      <c r="H71" s="14">
        <v>3131</v>
      </c>
      <c r="I71" s="14">
        <v>4188</v>
      </c>
      <c r="J71" s="14">
        <v>4720</v>
      </c>
      <c r="K71" s="14">
        <v>4578</v>
      </c>
      <c r="L71" s="14">
        <v>4329</v>
      </c>
      <c r="M71" s="14">
        <v>4329</v>
      </c>
      <c r="N71" s="14">
        <v>3936</v>
      </c>
      <c r="O71" s="13">
        <f t="shared" ref="O71:O134" si="2">IF(B71="","",SUM(C71:N71))</f>
        <v>42194</v>
      </c>
      <c r="P71" s="14">
        <v>5976810</v>
      </c>
      <c r="Q71" s="14">
        <v>7272342</v>
      </c>
      <c r="R71" s="14">
        <v>5796504</v>
      </c>
      <c r="S71" s="14">
        <v>4776996</v>
      </c>
      <c r="T71" s="14">
        <v>5077506</v>
      </c>
      <c r="U71" s="14">
        <v>6969606</v>
      </c>
      <c r="V71" s="14">
        <v>9322488</v>
      </c>
      <c r="W71" s="14">
        <v>10506720</v>
      </c>
      <c r="X71" s="14">
        <v>10190628</v>
      </c>
      <c r="Y71" s="14">
        <v>9636354</v>
      </c>
      <c r="Z71" s="14">
        <v>9636354</v>
      </c>
      <c r="AA71" s="14">
        <v>8761536</v>
      </c>
      <c r="AB71" s="13">
        <f t="shared" ref="AB71:AB134" si="3">IF(B71="","",SUM(P71:AA71))</f>
        <v>93923844</v>
      </c>
    </row>
    <row r="72" spans="1:28" x14ac:dyDescent="0.3">
      <c r="A72" s="11">
        <v>66</v>
      </c>
      <c r="B72" s="12" t="s">
        <v>349</v>
      </c>
      <c r="C72" s="14">
        <v>320</v>
      </c>
      <c r="D72" s="14">
        <v>502</v>
      </c>
      <c r="E72" s="14">
        <v>376</v>
      </c>
      <c r="F72" s="14">
        <v>351</v>
      </c>
      <c r="G72" s="14">
        <v>335</v>
      </c>
      <c r="H72" s="14">
        <v>344</v>
      </c>
      <c r="I72" s="14">
        <v>343</v>
      </c>
      <c r="J72" s="14">
        <v>399</v>
      </c>
      <c r="K72" s="14">
        <v>363</v>
      </c>
      <c r="L72" s="14">
        <v>350</v>
      </c>
      <c r="M72" s="14">
        <v>369</v>
      </c>
      <c r="N72" s="14">
        <v>397</v>
      </c>
      <c r="O72" s="13">
        <f t="shared" si="2"/>
        <v>4449</v>
      </c>
      <c r="P72" s="14">
        <v>663040</v>
      </c>
      <c r="Q72" s="14">
        <v>1040144</v>
      </c>
      <c r="R72" s="14">
        <v>779072</v>
      </c>
      <c r="S72" s="14">
        <v>727272</v>
      </c>
      <c r="T72" s="14">
        <v>694120</v>
      </c>
      <c r="U72" s="14">
        <v>712768</v>
      </c>
      <c r="V72" s="14">
        <v>710696</v>
      </c>
      <c r="W72" s="14">
        <v>826728</v>
      </c>
      <c r="X72" s="14">
        <v>752136</v>
      </c>
      <c r="Y72" s="14">
        <v>725200</v>
      </c>
      <c r="Z72" s="14">
        <v>764568</v>
      </c>
      <c r="AA72" s="14">
        <v>822584</v>
      </c>
      <c r="AB72" s="13">
        <f t="shared" si="3"/>
        <v>9218328</v>
      </c>
    </row>
    <row r="73" spans="1:28" x14ac:dyDescent="0.3">
      <c r="A73" s="11">
        <v>67</v>
      </c>
      <c r="B73" s="12" t="s">
        <v>330</v>
      </c>
      <c r="C73" s="14">
        <v>43</v>
      </c>
      <c r="D73" s="14">
        <v>37</v>
      </c>
      <c r="E73" s="14">
        <v>20</v>
      </c>
      <c r="F73" s="14">
        <v>32</v>
      </c>
      <c r="G73" s="14">
        <v>40</v>
      </c>
      <c r="H73" s="14">
        <v>29</v>
      </c>
      <c r="I73" s="14">
        <v>62</v>
      </c>
      <c r="J73" s="14">
        <v>10</v>
      </c>
      <c r="K73" s="14">
        <v>8</v>
      </c>
      <c r="L73" s="14">
        <v>8</v>
      </c>
      <c r="M73" s="14">
        <v>7</v>
      </c>
      <c r="N73" s="14">
        <v>55</v>
      </c>
      <c r="O73" s="13">
        <f t="shared" si="2"/>
        <v>351</v>
      </c>
      <c r="P73" s="14">
        <v>95718</v>
      </c>
      <c r="Q73" s="14">
        <v>82362</v>
      </c>
      <c r="R73" s="14">
        <v>44520</v>
      </c>
      <c r="S73" s="14">
        <v>71232</v>
      </c>
      <c r="T73" s="14">
        <v>89040</v>
      </c>
      <c r="U73" s="14">
        <v>64554</v>
      </c>
      <c r="V73" s="14">
        <v>138012</v>
      </c>
      <c r="W73" s="14">
        <v>22260</v>
      </c>
      <c r="X73" s="14">
        <v>17808</v>
      </c>
      <c r="Y73" s="14">
        <v>17808</v>
      </c>
      <c r="Z73" s="14">
        <v>15582</v>
      </c>
      <c r="AA73" s="14">
        <v>122430</v>
      </c>
      <c r="AB73" s="13">
        <f t="shared" si="3"/>
        <v>781326</v>
      </c>
    </row>
    <row r="74" spans="1:28" x14ac:dyDescent="0.3">
      <c r="A74" s="11">
        <v>68</v>
      </c>
      <c r="B74" s="12" t="s">
        <v>357</v>
      </c>
      <c r="C74" s="14">
        <v>210</v>
      </c>
      <c r="D74" s="14">
        <v>252</v>
      </c>
      <c r="E74" s="14">
        <v>199</v>
      </c>
      <c r="F74" s="14">
        <v>179</v>
      </c>
      <c r="G74" s="14">
        <v>117</v>
      </c>
      <c r="H74" s="14">
        <v>212</v>
      </c>
      <c r="I74" s="14">
        <v>225</v>
      </c>
      <c r="J74" s="14">
        <v>160</v>
      </c>
      <c r="K74" s="14"/>
      <c r="L74" s="14">
        <v>11</v>
      </c>
      <c r="M74" s="14">
        <v>26</v>
      </c>
      <c r="N74" s="14">
        <v>152</v>
      </c>
      <c r="O74" s="13">
        <f t="shared" si="2"/>
        <v>1743</v>
      </c>
      <c r="P74" s="14">
        <v>435120</v>
      </c>
      <c r="Q74" s="14">
        <v>522144</v>
      </c>
      <c r="R74" s="14">
        <v>412328</v>
      </c>
      <c r="S74" s="14">
        <v>370888</v>
      </c>
      <c r="T74" s="14">
        <v>242424</v>
      </c>
      <c r="U74" s="14">
        <v>439264</v>
      </c>
      <c r="V74" s="14">
        <v>466200</v>
      </c>
      <c r="W74" s="14">
        <v>331520</v>
      </c>
      <c r="X74" s="14"/>
      <c r="Y74" s="14">
        <v>22792</v>
      </c>
      <c r="Z74" s="14">
        <v>53872</v>
      </c>
      <c r="AA74" s="14">
        <v>314944</v>
      </c>
      <c r="AB74" s="13">
        <f t="shared" si="3"/>
        <v>3611496</v>
      </c>
    </row>
    <row r="75" spans="1:28" x14ac:dyDescent="0.3">
      <c r="A75" s="11">
        <v>69</v>
      </c>
      <c r="B75" s="12" t="s">
        <v>444</v>
      </c>
      <c r="C75" s="14">
        <v>277</v>
      </c>
      <c r="D75" s="14">
        <v>337</v>
      </c>
      <c r="E75" s="14">
        <v>278</v>
      </c>
      <c r="F75" s="14">
        <v>229</v>
      </c>
      <c r="G75" s="14">
        <v>186</v>
      </c>
      <c r="H75" s="14">
        <v>286</v>
      </c>
      <c r="I75" s="14">
        <v>298</v>
      </c>
      <c r="J75" s="14">
        <v>225</v>
      </c>
      <c r="K75" s="14">
        <v>71</v>
      </c>
      <c r="L75" s="14">
        <v>107</v>
      </c>
      <c r="M75" s="14">
        <v>142</v>
      </c>
      <c r="N75" s="14">
        <v>295</v>
      </c>
      <c r="O75" s="13">
        <f t="shared" si="2"/>
        <v>2731</v>
      </c>
      <c r="P75" s="14">
        <v>573944</v>
      </c>
      <c r="Q75" s="14">
        <v>698264</v>
      </c>
      <c r="R75" s="14">
        <v>576016</v>
      </c>
      <c r="S75" s="14">
        <v>474488</v>
      </c>
      <c r="T75" s="14">
        <v>385392</v>
      </c>
      <c r="U75" s="14">
        <v>592592</v>
      </c>
      <c r="V75" s="14">
        <v>617456</v>
      </c>
      <c r="W75" s="14">
        <v>466200</v>
      </c>
      <c r="X75" s="14">
        <v>147112</v>
      </c>
      <c r="Y75" s="14">
        <v>221704</v>
      </c>
      <c r="Z75" s="14">
        <v>294224</v>
      </c>
      <c r="AA75" s="14">
        <v>611240</v>
      </c>
      <c r="AB75" s="13">
        <f t="shared" si="3"/>
        <v>5658632</v>
      </c>
    </row>
    <row r="76" spans="1:28" x14ac:dyDescent="0.3">
      <c r="A76" s="11">
        <v>70</v>
      </c>
      <c r="B76" s="12" t="s">
        <v>158</v>
      </c>
      <c r="C76" s="14">
        <v>1162</v>
      </c>
      <c r="D76" s="14">
        <v>1506</v>
      </c>
      <c r="E76" s="14">
        <v>1341</v>
      </c>
      <c r="F76" s="14">
        <v>1270</v>
      </c>
      <c r="G76" s="14">
        <v>1764</v>
      </c>
      <c r="H76" s="14">
        <v>1797</v>
      </c>
      <c r="I76" s="14">
        <v>1777</v>
      </c>
      <c r="J76" s="14">
        <v>1571</v>
      </c>
      <c r="K76" s="14">
        <v>1597</v>
      </c>
      <c r="L76" s="14">
        <v>1664</v>
      </c>
      <c r="M76" s="14">
        <v>1619</v>
      </c>
      <c r="N76" s="14">
        <v>1561</v>
      </c>
      <c r="O76" s="13">
        <f t="shared" si="2"/>
        <v>18629</v>
      </c>
      <c r="P76" s="14">
        <v>2586612</v>
      </c>
      <c r="Q76" s="14">
        <v>3352356</v>
      </c>
      <c r="R76" s="14">
        <v>2985066</v>
      </c>
      <c r="S76" s="14">
        <v>2827020</v>
      </c>
      <c r="T76" s="14">
        <v>3926664</v>
      </c>
      <c r="U76" s="14">
        <v>4000122</v>
      </c>
      <c r="V76" s="14">
        <v>3955602</v>
      </c>
      <c r="W76" s="14">
        <v>3497046</v>
      </c>
      <c r="X76" s="14">
        <v>3554922</v>
      </c>
      <c r="Y76" s="14">
        <v>3704064</v>
      </c>
      <c r="Z76" s="14">
        <v>3603894</v>
      </c>
      <c r="AA76" s="14">
        <v>3474786</v>
      </c>
      <c r="AB76" s="13">
        <f t="shared" si="3"/>
        <v>41468154</v>
      </c>
    </row>
    <row r="77" spans="1:28" x14ac:dyDescent="0.3">
      <c r="A77" s="11">
        <v>71</v>
      </c>
      <c r="B77" s="12" t="s">
        <v>256</v>
      </c>
      <c r="C77" s="14">
        <v>14</v>
      </c>
      <c r="D77" s="14">
        <v>22</v>
      </c>
      <c r="E77" s="14">
        <v>15</v>
      </c>
      <c r="F77" s="14">
        <v>15</v>
      </c>
      <c r="G77" s="14">
        <v>27</v>
      </c>
      <c r="H77" s="14">
        <v>45</v>
      </c>
      <c r="I77" s="14">
        <v>11</v>
      </c>
      <c r="J77" s="14">
        <v>8</v>
      </c>
      <c r="K77" s="14">
        <v>28</v>
      </c>
      <c r="L77" s="14">
        <v>10</v>
      </c>
      <c r="M77" s="14">
        <v>11</v>
      </c>
      <c r="N77" s="14">
        <v>10</v>
      </c>
      <c r="O77" s="13">
        <f t="shared" si="2"/>
        <v>216</v>
      </c>
      <c r="P77" s="14">
        <v>31164</v>
      </c>
      <c r="Q77" s="14">
        <v>48972</v>
      </c>
      <c r="R77" s="14">
        <v>33390</v>
      </c>
      <c r="S77" s="14">
        <v>33390</v>
      </c>
      <c r="T77" s="14">
        <v>60102</v>
      </c>
      <c r="U77" s="14">
        <v>100170</v>
      </c>
      <c r="V77" s="14">
        <v>24486</v>
      </c>
      <c r="W77" s="14">
        <v>17808</v>
      </c>
      <c r="X77" s="14">
        <v>62328</v>
      </c>
      <c r="Y77" s="14">
        <v>22260</v>
      </c>
      <c r="Z77" s="14">
        <v>24486</v>
      </c>
      <c r="AA77" s="14">
        <v>22260</v>
      </c>
      <c r="AB77" s="13">
        <f t="shared" si="3"/>
        <v>480816</v>
      </c>
    </row>
    <row r="78" spans="1:28" x14ac:dyDescent="0.3">
      <c r="A78" s="11">
        <v>72</v>
      </c>
      <c r="B78" s="12" t="s">
        <v>309</v>
      </c>
      <c r="C78" s="14">
        <v>446</v>
      </c>
      <c r="D78" s="14">
        <v>639</v>
      </c>
      <c r="E78" s="14">
        <v>480</v>
      </c>
      <c r="F78" s="14">
        <v>507</v>
      </c>
      <c r="G78" s="14">
        <v>452</v>
      </c>
      <c r="H78" s="14">
        <v>560</v>
      </c>
      <c r="I78" s="14">
        <v>627</v>
      </c>
      <c r="J78" s="14">
        <v>648</v>
      </c>
      <c r="K78" s="14">
        <v>548</v>
      </c>
      <c r="L78" s="14">
        <v>619</v>
      </c>
      <c r="M78" s="14">
        <v>628</v>
      </c>
      <c r="N78" s="14">
        <v>590</v>
      </c>
      <c r="O78" s="13">
        <f t="shared" si="2"/>
        <v>6744</v>
      </c>
      <c r="P78" s="14">
        <v>924112</v>
      </c>
      <c r="Q78" s="14">
        <v>1324008</v>
      </c>
      <c r="R78" s="14">
        <v>994560</v>
      </c>
      <c r="S78" s="14">
        <v>1050504</v>
      </c>
      <c r="T78" s="14">
        <v>936544</v>
      </c>
      <c r="U78" s="14">
        <v>1160320</v>
      </c>
      <c r="V78" s="14">
        <v>1299144</v>
      </c>
      <c r="W78" s="14">
        <v>1342656</v>
      </c>
      <c r="X78" s="14">
        <v>1135456</v>
      </c>
      <c r="Y78" s="14">
        <v>1282568</v>
      </c>
      <c r="Z78" s="14">
        <v>1301216</v>
      </c>
      <c r="AA78" s="14">
        <v>1222480</v>
      </c>
      <c r="AB78" s="13">
        <f t="shared" si="3"/>
        <v>13973568</v>
      </c>
    </row>
    <row r="79" spans="1:28" x14ac:dyDescent="0.3">
      <c r="A79" s="11">
        <v>73</v>
      </c>
      <c r="B79" s="12" t="s">
        <v>226</v>
      </c>
      <c r="C79" s="14">
        <v>2345</v>
      </c>
      <c r="D79" s="14">
        <v>2602</v>
      </c>
      <c r="E79" s="14">
        <v>2189</v>
      </c>
      <c r="F79" s="14">
        <v>1851</v>
      </c>
      <c r="G79" s="14">
        <v>1919</v>
      </c>
      <c r="H79" s="14">
        <v>2612</v>
      </c>
      <c r="I79" s="14">
        <v>3237</v>
      </c>
      <c r="J79" s="14">
        <v>3682</v>
      </c>
      <c r="K79" s="14">
        <v>3142</v>
      </c>
      <c r="L79" s="14">
        <v>3055</v>
      </c>
      <c r="M79" s="14">
        <v>3267</v>
      </c>
      <c r="N79" s="14">
        <v>2788</v>
      </c>
      <c r="O79" s="13">
        <f t="shared" si="2"/>
        <v>32689</v>
      </c>
      <c r="P79" s="14">
        <v>5219970</v>
      </c>
      <c r="Q79" s="14">
        <v>5792052</v>
      </c>
      <c r="R79" s="14">
        <v>4872714</v>
      </c>
      <c r="S79" s="14">
        <v>4120326</v>
      </c>
      <c r="T79" s="14">
        <v>4271694</v>
      </c>
      <c r="U79" s="14">
        <v>5814312</v>
      </c>
      <c r="V79" s="14">
        <v>7205562</v>
      </c>
      <c r="W79" s="14">
        <v>8196132</v>
      </c>
      <c r="X79" s="14">
        <v>6994092</v>
      </c>
      <c r="Y79" s="14">
        <v>6800430</v>
      </c>
      <c r="Z79" s="14">
        <v>7272342</v>
      </c>
      <c r="AA79" s="14">
        <v>6206088</v>
      </c>
      <c r="AB79" s="13">
        <f t="shared" si="3"/>
        <v>72765714</v>
      </c>
    </row>
    <row r="80" spans="1:28" x14ac:dyDescent="0.3">
      <c r="A80" s="11">
        <v>74</v>
      </c>
      <c r="B80" s="12" t="s">
        <v>448</v>
      </c>
      <c r="C80" s="14">
        <v>534</v>
      </c>
      <c r="D80" s="14">
        <v>576</v>
      </c>
      <c r="E80" s="14">
        <v>502</v>
      </c>
      <c r="F80" s="14">
        <v>507</v>
      </c>
      <c r="G80" s="14">
        <v>429</v>
      </c>
      <c r="H80" s="14">
        <v>517</v>
      </c>
      <c r="I80" s="14">
        <v>526</v>
      </c>
      <c r="J80" s="14">
        <v>370</v>
      </c>
      <c r="K80" s="14">
        <v>244</v>
      </c>
      <c r="L80" s="14">
        <v>286</v>
      </c>
      <c r="M80" s="14">
        <v>281</v>
      </c>
      <c r="N80" s="14">
        <v>565</v>
      </c>
      <c r="O80" s="13">
        <f t="shared" si="2"/>
        <v>5337</v>
      </c>
      <c r="P80" s="14">
        <v>1106448</v>
      </c>
      <c r="Q80" s="14">
        <v>1193472</v>
      </c>
      <c r="R80" s="14">
        <v>1040144</v>
      </c>
      <c r="S80" s="14">
        <v>1050504</v>
      </c>
      <c r="T80" s="14">
        <v>888888</v>
      </c>
      <c r="U80" s="14">
        <v>1071224</v>
      </c>
      <c r="V80" s="14">
        <v>1089872</v>
      </c>
      <c r="W80" s="14">
        <v>766640</v>
      </c>
      <c r="X80" s="14">
        <v>505568</v>
      </c>
      <c r="Y80" s="14">
        <v>592592</v>
      </c>
      <c r="Z80" s="14">
        <v>582232</v>
      </c>
      <c r="AA80" s="14">
        <v>1170680</v>
      </c>
      <c r="AB80" s="13">
        <f t="shared" si="3"/>
        <v>11058264</v>
      </c>
    </row>
    <row r="81" spans="1:28" x14ac:dyDescent="0.3">
      <c r="A81" s="11">
        <v>75</v>
      </c>
      <c r="B81" s="12" t="s">
        <v>395</v>
      </c>
      <c r="C81" s="14">
        <v>865</v>
      </c>
      <c r="D81" s="14">
        <v>1188</v>
      </c>
      <c r="E81" s="14">
        <v>1039</v>
      </c>
      <c r="F81" s="14">
        <v>950</v>
      </c>
      <c r="G81" s="14">
        <v>619</v>
      </c>
      <c r="H81" s="14">
        <v>1041</v>
      </c>
      <c r="I81" s="14">
        <v>1038</v>
      </c>
      <c r="J81" s="14">
        <v>874</v>
      </c>
      <c r="K81" s="14">
        <v>352</v>
      </c>
      <c r="L81" s="14">
        <v>471</v>
      </c>
      <c r="M81" s="14">
        <v>731</v>
      </c>
      <c r="N81" s="14">
        <v>1050</v>
      </c>
      <c r="O81" s="13">
        <f t="shared" si="2"/>
        <v>10218</v>
      </c>
      <c r="P81" s="14">
        <v>1792280</v>
      </c>
      <c r="Q81" s="14">
        <v>2461536</v>
      </c>
      <c r="R81" s="14">
        <v>2152808</v>
      </c>
      <c r="S81" s="14">
        <v>1968400</v>
      </c>
      <c r="T81" s="14">
        <v>1282568</v>
      </c>
      <c r="U81" s="14">
        <v>2156952</v>
      </c>
      <c r="V81" s="14">
        <v>2150736</v>
      </c>
      <c r="W81" s="14">
        <v>1810928</v>
      </c>
      <c r="X81" s="14">
        <v>729344</v>
      </c>
      <c r="Y81" s="14">
        <v>975912</v>
      </c>
      <c r="Z81" s="14">
        <v>1514632</v>
      </c>
      <c r="AA81" s="14">
        <v>2175600</v>
      </c>
      <c r="AB81" s="13">
        <f t="shared" si="3"/>
        <v>21171696</v>
      </c>
    </row>
    <row r="82" spans="1:28" x14ac:dyDescent="0.3">
      <c r="A82" s="11">
        <v>76</v>
      </c>
      <c r="B82" s="12" t="s">
        <v>400</v>
      </c>
      <c r="C82" s="14">
        <v>2452</v>
      </c>
      <c r="D82" s="14">
        <v>2413</v>
      </c>
      <c r="E82" s="14">
        <v>1917</v>
      </c>
      <c r="F82" s="14">
        <v>1662</v>
      </c>
      <c r="G82" s="14">
        <v>1039</v>
      </c>
      <c r="H82" s="14">
        <v>2339</v>
      </c>
      <c r="I82" s="14">
        <v>2856</v>
      </c>
      <c r="J82" s="14">
        <v>2632</v>
      </c>
      <c r="K82" s="14">
        <v>1679</v>
      </c>
      <c r="L82" s="14">
        <v>2466</v>
      </c>
      <c r="M82" s="14">
        <v>1924</v>
      </c>
      <c r="N82" s="14">
        <v>2077</v>
      </c>
      <c r="O82" s="13">
        <f t="shared" si="2"/>
        <v>25456</v>
      </c>
      <c r="P82" s="14">
        <v>5080544</v>
      </c>
      <c r="Q82" s="14">
        <v>4999736</v>
      </c>
      <c r="R82" s="14">
        <v>3972024</v>
      </c>
      <c r="S82" s="14">
        <v>3443664</v>
      </c>
      <c r="T82" s="14">
        <v>2152808</v>
      </c>
      <c r="U82" s="14">
        <v>4846408</v>
      </c>
      <c r="V82" s="14">
        <v>5917632</v>
      </c>
      <c r="W82" s="14">
        <v>5453504</v>
      </c>
      <c r="X82" s="14">
        <v>3478888</v>
      </c>
      <c r="Y82" s="14">
        <v>5109552</v>
      </c>
      <c r="Z82" s="14">
        <v>3986528</v>
      </c>
      <c r="AA82" s="14">
        <v>4303544</v>
      </c>
      <c r="AB82" s="13">
        <f t="shared" si="3"/>
        <v>52744832</v>
      </c>
    </row>
    <row r="83" spans="1:28" x14ac:dyDescent="0.3">
      <c r="A83" s="11">
        <v>77</v>
      </c>
      <c r="B83" s="12" t="s">
        <v>404</v>
      </c>
      <c r="C83" s="14">
        <v>565</v>
      </c>
      <c r="D83" s="14">
        <v>705</v>
      </c>
      <c r="E83" s="14">
        <v>529</v>
      </c>
      <c r="F83" s="14">
        <v>546</v>
      </c>
      <c r="G83" s="14">
        <v>413</v>
      </c>
      <c r="H83" s="14">
        <v>566</v>
      </c>
      <c r="I83" s="14">
        <v>608</v>
      </c>
      <c r="J83" s="14">
        <v>475</v>
      </c>
      <c r="K83" s="14">
        <v>271</v>
      </c>
      <c r="L83" s="14">
        <v>312</v>
      </c>
      <c r="M83" s="14">
        <v>399</v>
      </c>
      <c r="N83" s="14">
        <v>559</v>
      </c>
      <c r="O83" s="13">
        <f t="shared" si="2"/>
        <v>5948</v>
      </c>
      <c r="P83" s="14">
        <v>1170680</v>
      </c>
      <c r="Q83" s="14">
        <v>1460760</v>
      </c>
      <c r="R83" s="14">
        <v>1096088</v>
      </c>
      <c r="S83" s="14">
        <v>1131312</v>
      </c>
      <c r="T83" s="14">
        <v>855736</v>
      </c>
      <c r="U83" s="14">
        <v>1172752</v>
      </c>
      <c r="V83" s="14">
        <v>1259776</v>
      </c>
      <c r="W83" s="14">
        <v>984200</v>
      </c>
      <c r="X83" s="14">
        <v>561512</v>
      </c>
      <c r="Y83" s="14">
        <v>646464</v>
      </c>
      <c r="Z83" s="14">
        <v>826728</v>
      </c>
      <c r="AA83" s="14">
        <v>1158248</v>
      </c>
      <c r="AB83" s="13">
        <f t="shared" si="3"/>
        <v>12324256</v>
      </c>
    </row>
    <row r="84" spans="1:28" x14ac:dyDescent="0.3">
      <c r="A84" s="11">
        <v>78</v>
      </c>
      <c r="B84" s="12" t="s">
        <v>374</v>
      </c>
      <c r="C84" s="14">
        <v>563</v>
      </c>
      <c r="D84" s="14">
        <v>686</v>
      </c>
      <c r="E84" s="14">
        <v>516</v>
      </c>
      <c r="F84" s="14">
        <v>511</v>
      </c>
      <c r="G84" s="14">
        <v>324</v>
      </c>
      <c r="H84" s="14">
        <v>537</v>
      </c>
      <c r="I84" s="14">
        <v>528</v>
      </c>
      <c r="J84" s="14">
        <v>496</v>
      </c>
      <c r="K84" s="14">
        <v>419</v>
      </c>
      <c r="L84" s="14">
        <v>458</v>
      </c>
      <c r="M84" s="14">
        <v>562</v>
      </c>
      <c r="N84" s="14">
        <v>510</v>
      </c>
      <c r="O84" s="13">
        <f t="shared" si="2"/>
        <v>6110</v>
      </c>
      <c r="P84" s="14">
        <v>1166536</v>
      </c>
      <c r="Q84" s="14">
        <v>1421392</v>
      </c>
      <c r="R84" s="14">
        <v>1069152</v>
      </c>
      <c r="S84" s="14">
        <v>1058792</v>
      </c>
      <c r="T84" s="14">
        <v>671328</v>
      </c>
      <c r="U84" s="14">
        <v>1112664</v>
      </c>
      <c r="V84" s="14">
        <v>1094016</v>
      </c>
      <c r="W84" s="14">
        <v>1027712</v>
      </c>
      <c r="X84" s="14">
        <v>868168</v>
      </c>
      <c r="Y84" s="14">
        <v>948976</v>
      </c>
      <c r="Z84" s="14">
        <v>1164464</v>
      </c>
      <c r="AA84" s="14">
        <v>1056720</v>
      </c>
      <c r="AB84" s="13">
        <f t="shared" si="3"/>
        <v>12659920</v>
      </c>
    </row>
    <row r="85" spans="1:28" x14ac:dyDescent="0.3">
      <c r="A85" s="11">
        <v>79</v>
      </c>
      <c r="B85" s="12" t="s">
        <v>303</v>
      </c>
      <c r="C85" s="14">
        <v>447</v>
      </c>
      <c r="D85" s="14">
        <v>555</v>
      </c>
      <c r="E85" s="14">
        <v>525</v>
      </c>
      <c r="F85" s="14">
        <v>506</v>
      </c>
      <c r="G85" s="14">
        <v>503</v>
      </c>
      <c r="H85" s="14">
        <v>499</v>
      </c>
      <c r="I85" s="14">
        <v>520</v>
      </c>
      <c r="J85" s="14">
        <v>589</v>
      </c>
      <c r="K85" s="14">
        <v>524</v>
      </c>
      <c r="L85" s="14">
        <v>583</v>
      </c>
      <c r="M85" s="14">
        <v>551</v>
      </c>
      <c r="N85" s="14">
        <v>506</v>
      </c>
      <c r="O85" s="13">
        <f t="shared" si="2"/>
        <v>6308</v>
      </c>
      <c r="P85" s="14">
        <v>926184</v>
      </c>
      <c r="Q85" s="14">
        <v>1149960</v>
      </c>
      <c r="R85" s="14">
        <v>1087800</v>
      </c>
      <c r="S85" s="14">
        <v>1048432</v>
      </c>
      <c r="T85" s="14">
        <v>1042216</v>
      </c>
      <c r="U85" s="14">
        <v>1033928</v>
      </c>
      <c r="V85" s="14">
        <v>1077440</v>
      </c>
      <c r="W85" s="14">
        <v>1220408</v>
      </c>
      <c r="X85" s="14">
        <v>1085728</v>
      </c>
      <c r="Y85" s="14">
        <v>1207976</v>
      </c>
      <c r="Z85" s="14">
        <v>1141672</v>
      </c>
      <c r="AA85" s="14">
        <v>1048432</v>
      </c>
      <c r="AB85" s="13">
        <f t="shared" si="3"/>
        <v>13070176</v>
      </c>
    </row>
    <row r="86" spans="1:28" x14ac:dyDescent="0.3">
      <c r="A86" s="11">
        <v>80</v>
      </c>
      <c r="B86" s="12" t="s">
        <v>376</v>
      </c>
      <c r="C86" s="14">
        <v>404</v>
      </c>
      <c r="D86" s="14">
        <v>368</v>
      </c>
      <c r="E86" s="14">
        <v>373</v>
      </c>
      <c r="F86" s="14">
        <v>360</v>
      </c>
      <c r="G86" s="14">
        <v>233</v>
      </c>
      <c r="H86" s="14">
        <v>401</v>
      </c>
      <c r="I86" s="14">
        <v>446</v>
      </c>
      <c r="J86" s="14">
        <v>435</v>
      </c>
      <c r="K86" s="14">
        <v>39</v>
      </c>
      <c r="L86" s="14">
        <v>43</v>
      </c>
      <c r="M86" s="14">
        <v>155</v>
      </c>
      <c r="N86" s="14">
        <v>316</v>
      </c>
      <c r="O86" s="13">
        <f t="shared" si="2"/>
        <v>3573</v>
      </c>
      <c r="P86" s="14">
        <v>837088</v>
      </c>
      <c r="Q86" s="14">
        <v>762496</v>
      </c>
      <c r="R86" s="14">
        <v>772856</v>
      </c>
      <c r="S86" s="14">
        <v>745920</v>
      </c>
      <c r="T86" s="14">
        <v>482776</v>
      </c>
      <c r="U86" s="14">
        <v>830872</v>
      </c>
      <c r="V86" s="14">
        <v>924112</v>
      </c>
      <c r="W86" s="14">
        <v>901320</v>
      </c>
      <c r="X86" s="14">
        <v>80808</v>
      </c>
      <c r="Y86" s="14">
        <v>89096</v>
      </c>
      <c r="Z86" s="14">
        <v>321160</v>
      </c>
      <c r="AA86" s="14">
        <v>654752</v>
      </c>
      <c r="AB86" s="13">
        <f t="shared" si="3"/>
        <v>7403256</v>
      </c>
    </row>
    <row r="87" spans="1:28" x14ac:dyDescent="0.3">
      <c r="A87" s="11">
        <v>81</v>
      </c>
      <c r="B87" s="12" t="s">
        <v>399</v>
      </c>
      <c r="C87" s="14">
        <v>235</v>
      </c>
      <c r="D87" s="14">
        <v>176</v>
      </c>
      <c r="E87" s="14">
        <v>167</v>
      </c>
      <c r="F87" s="14">
        <v>142</v>
      </c>
      <c r="G87" s="14">
        <v>108</v>
      </c>
      <c r="H87" s="14">
        <v>181</v>
      </c>
      <c r="I87" s="14">
        <v>180</v>
      </c>
      <c r="J87" s="14">
        <v>186</v>
      </c>
      <c r="K87" s="14">
        <v>32</v>
      </c>
      <c r="L87" s="14">
        <v>17</v>
      </c>
      <c r="M87" s="14">
        <v>69</v>
      </c>
      <c r="N87" s="14">
        <v>158</v>
      </c>
      <c r="O87" s="13">
        <f t="shared" si="2"/>
        <v>1651</v>
      </c>
      <c r="P87" s="14">
        <v>486920</v>
      </c>
      <c r="Q87" s="14">
        <v>364672</v>
      </c>
      <c r="R87" s="14">
        <v>346024</v>
      </c>
      <c r="S87" s="14">
        <v>294224</v>
      </c>
      <c r="T87" s="14">
        <v>223776</v>
      </c>
      <c r="U87" s="14">
        <v>375032</v>
      </c>
      <c r="V87" s="14">
        <v>372960</v>
      </c>
      <c r="W87" s="14">
        <v>385392</v>
      </c>
      <c r="X87" s="14">
        <v>66304</v>
      </c>
      <c r="Y87" s="14">
        <v>35224</v>
      </c>
      <c r="Z87" s="14">
        <v>142968</v>
      </c>
      <c r="AA87" s="14">
        <v>327376</v>
      </c>
      <c r="AB87" s="13">
        <f t="shared" si="3"/>
        <v>3420872</v>
      </c>
    </row>
    <row r="88" spans="1:28" x14ac:dyDescent="0.3">
      <c r="A88" s="11">
        <v>82</v>
      </c>
      <c r="B88" s="12" t="s">
        <v>160</v>
      </c>
      <c r="C88" s="14">
        <v>1134</v>
      </c>
      <c r="D88" s="14">
        <v>1578</v>
      </c>
      <c r="E88" s="14">
        <v>1183</v>
      </c>
      <c r="F88" s="14">
        <v>1084</v>
      </c>
      <c r="G88" s="14">
        <v>1311</v>
      </c>
      <c r="H88" s="14">
        <v>1594</v>
      </c>
      <c r="I88" s="14">
        <v>1437</v>
      </c>
      <c r="J88" s="14">
        <v>1540</v>
      </c>
      <c r="K88" s="14">
        <v>1716</v>
      </c>
      <c r="L88" s="14">
        <v>1799</v>
      </c>
      <c r="M88" s="14">
        <v>1891</v>
      </c>
      <c r="N88" s="14">
        <v>1790</v>
      </c>
      <c r="O88" s="13">
        <f t="shared" si="2"/>
        <v>18057</v>
      </c>
      <c r="P88" s="14">
        <v>2524284</v>
      </c>
      <c r="Q88" s="14">
        <v>3512628</v>
      </c>
      <c r="R88" s="14">
        <v>2633358</v>
      </c>
      <c r="S88" s="14">
        <v>2412984</v>
      </c>
      <c r="T88" s="14">
        <v>2918286</v>
      </c>
      <c r="U88" s="14">
        <v>3548244</v>
      </c>
      <c r="V88" s="14">
        <v>3198762</v>
      </c>
      <c r="W88" s="14">
        <v>3428040</v>
      </c>
      <c r="X88" s="14">
        <v>3819816</v>
      </c>
      <c r="Y88" s="14">
        <v>4004574</v>
      </c>
      <c r="Z88" s="14">
        <v>4209366</v>
      </c>
      <c r="AA88" s="14">
        <v>3984540</v>
      </c>
      <c r="AB88" s="13">
        <f t="shared" si="3"/>
        <v>40194882</v>
      </c>
    </row>
    <row r="89" spans="1:28" x14ac:dyDescent="0.3">
      <c r="A89" s="11">
        <v>83</v>
      </c>
      <c r="B89" s="12" t="s">
        <v>239</v>
      </c>
      <c r="C89" s="14">
        <v>15</v>
      </c>
      <c r="D89" s="14">
        <v>33</v>
      </c>
      <c r="E89" s="14">
        <v>16</v>
      </c>
      <c r="F89" s="14">
        <v>16</v>
      </c>
      <c r="G89" s="14">
        <v>17</v>
      </c>
      <c r="H89" s="14">
        <v>37</v>
      </c>
      <c r="I89" s="14">
        <v>10</v>
      </c>
      <c r="J89" s="14"/>
      <c r="K89" s="14">
        <v>29</v>
      </c>
      <c r="L89" s="14">
        <v>18</v>
      </c>
      <c r="M89" s="14">
        <v>18</v>
      </c>
      <c r="N89" s="14">
        <v>12</v>
      </c>
      <c r="O89" s="13">
        <f t="shared" si="2"/>
        <v>221</v>
      </c>
      <c r="P89" s="14">
        <v>33390</v>
      </c>
      <c r="Q89" s="14">
        <v>73458</v>
      </c>
      <c r="R89" s="14">
        <v>35616</v>
      </c>
      <c r="S89" s="14">
        <v>35616</v>
      </c>
      <c r="T89" s="14">
        <v>37842</v>
      </c>
      <c r="U89" s="14">
        <v>82362</v>
      </c>
      <c r="V89" s="14">
        <v>22260</v>
      </c>
      <c r="W89" s="14"/>
      <c r="X89" s="14">
        <v>64554</v>
      </c>
      <c r="Y89" s="14">
        <v>40068</v>
      </c>
      <c r="Z89" s="14">
        <v>40068</v>
      </c>
      <c r="AA89" s="14">
        <v>26712</v>
      </c>
      <c r="AB89" s="13">
        <f t="shared" si="3"/>
        <v>491946</v>
      </c>
    </row>
    <row r="90" spans="1:28" x14ac:dyDescent="0.3">
      <c r="A90" s="11">
        <v>84</v>
      </c>
      <c r="B90" s="12" t="s">
        <v>328</v>
      </c>
      <c r="C90" s="14">
        <v>113</v>
      </c>
      <c r="D90" s="14">
        <v>156</v>
      </c>
      <c r="E90" s="14">
        <v>139</v>
      </c>
      <c r="F90" s="14">
        <v>147</v>
      </c>
      <c r="G90" s="14">
        <v>132</v>
      </c>
      <c r="H90" s="14">
        <v>182</v>
      </c>
      <c r="I90" s="14">
        <v>144</v>
      </c>
      <c r="J90" s="14">
        <v>149</v>
      </c>
      <c r="K90" s="14">
        <v>136</v>
      </c>
      <c r="L90" s="14">
        <v>145</v>
      </c>
      <c r="M90" s="14">
        <v>109</v>
      </c>
      <c r="N90" s="14">
        <v>210</v>
      </c>
      <c r="O90" s="13">
        <f t="shared" si="2"/>
        <v>1762</v>
      </c>
      <c r="P90" s="14">
        <v>251538</v>
      </c>
      <c r="Q90" s="14">
        <v>347256</v>
      </c>
      <c r="R90" s="14">
        <v>309414</v>
      </c>
      <c r="S90" s="14">
        <v>327222</v>
      </c>
      <c r="T90" s="14">
        <v>293832</v>
      </c>
      <c r="U90" s="14">
        <v>405132</v>
      </c>
      <c r="V90" s="14">
        <v>320544</v>
      </c>
      <c r="W90" s="14">
        <v>331674</v>
      </c>
      <c r="X90" s="14">
        <v>302736</v>
      </c>
      <c r="Y90" s="14">
        <v>322770</v>
      </c>
      <c r="Z90" s="14">
        <v>242634</v>
      </c>
      <c r="AA90" s="14">
        <v>467460</v>
      </c>
      <c r="AB90" s="13">
        <f t="shared" si="3"/>
        <v>3922212</v>
      </c>
    </row>
    <row r="91" spans="1:28" x14ac:dyDescent="0.3">
      <c r="A91" s="11">
        <v>85</v>
      </c>
      <c r="B91" s="12" t="s">
        <v>542</v>
      </c>
      <c r="C91" s="14">
        <v>2678</v>
      </c>
      <c r="D91" s="14">
        <v>2500</v>
      </c>
      <c r="E91" s="14">
        <v>2203</v>
      </c>
      <c r="F91" s="14">
        <v>1764</v>
      </c>
      <c r="G91" s="14">
        <v>2890</v>
      </c>
      <c r="H91" s="14">
        <v>4170</v>
      </c>
      <c r="I91" s="14">
        <v>4607</v>
      </c>
      <c r="J91" s="14">
        <v>4788</v>
      </c>
      <c r="K91" s="14">
        <v>4438</v>
      </c>
      <c r="L91" s="14">
        <v>3959</v>
      </c>
      <c r="M91" s="14">
        <v>4180</v>
      </c>
      <c r="N91" s="14">
        <v>3890</v>
      </c>
      <c r="O91" s="13">
        <f t="shared" si="2"/>
        <v>42067</v>
      </c>
      <c r="P91" s="14">
        <v>5961228</v>
      </c>
      <c r="Q91" s="14">
        <v>5565000</v>
      </c>
      <c r="R91" s="14">
        <v>4903878</v>
      </c>
      <c r="S91" s="14">
        <v>3926664</v>
      </c>
      <c r="T91" s="14">
        <v>6433140</v>
      </c>
      <c r="U91" s="14">
        <v>9282420</v>
      </c>
      <c r="V91" s="14">
        <v>10255182</v>
      </c>
      <c r="W91" s="14">
        <v>10658088</v>
      </c>
      <c r="X91" s="14">
        <v>9878988</v>
      </c>
      <c r="Y91" s="14">
        <v>8812734</v>
      </c>
      <c r="Z91" s="14">
        <v>9304680</v>
      </c>
      <c r="AA91" s="14">
        <v>8659140</v>
      </c>
      <c r="AB91" s="13">
        <f t="shared" si="3"/>
        <v>93641142</v>
      </c>
    </row>
    <row r="92" spans="1:28" x14ac:dyDescent="0.3">
      <c r="A92" s="11">
        <v>86</v>
      </c>
      <c r="B92" s="12" t="s">
        <v>240</v>
      </c>
      <c r="C92" s="14">
        <v>260</v>
      </c>
      <c r="D92" s="14">
        <v>264</v>
      </c>
      <c r="E92" s="14">
        <v>260</v>
      </c>
      <c r="F92" s="14">
        <v>285</v>
      </c>
      <c r="G92" s="14">
        <v>279</v>
      </c>
      <c r="H92" s="14">
        <v>230</v>
      </c>
      <c r="I92" s="14">
        <v>230</v>
      </c>
      <c r="J92" s="14">
        <v>252</v>
      </c>
      <c r="K92" s="14">
        <v>162</v>
      </c>
      <c r="L92" s="14">
        <v>76</v>
      </c>
      <c r="M92" s="14">
        <v>61</v>
      </c>
      <c r="N92" s="14">
        <v>96</v>
      </c>
      <c r="O92" s="13">
        <f t="shared" si="2"/>
        <v>2455</v>
      </c>
      <c r="P92" s="14">
        <v>578760</v>
      </c>
      <c r="Q92" s="14">
        <v>587664</v>
      </c>
      <c r="R92" s="14">
        <v>578760</v>
      </c>
      <c r="S92" s="14">
        <v>634410</v>
      </c>
      <c r="T92" s="14">
        <v>621054</v>
      </c>
      <c r="U92" s="14">
        <v>511980</v>
      </c>
      <c r="V92" s="14">
        <v>511980</v>
      </c>
      <c r="W92" s="14">
        <v>560952</v>
      </c>
      <c r="X92" s="14">
        <v>360612</v>
      </c>
      <c r="Y92" s="14">
        <v>169176</v>
      </c>
      <c r="Z92" s="14">
        <v>135786</v>
      </c>
      <c r="AA92" s="14">
        <v>213696</v>
      </c>
      <c r="AB92" s="13">
        <f t="shared" si="3"/>
        <v>5464830</v>
      </c>
    </row>
    <row r="93" spans="1:28" x14ac:dyDescent="0.3">
      <c r="A93" s="11">
        <v>87</v>
      </c>
      <c r="B93" s="12" t="s">
        <v>392</v>
      </c>
      <c r="C93" s="14">
        <v>198</v>
      </c>
      <c r="D93" s="14">
        <v>226</v>
      </c>
      <c r="E93" s="14">
        <v>181</v>
      </c>
      <c r="F93" s="14">
        <v>185</v>
      </c>
      <c r="G93" s="14">
        <v>128</v>
      </c>
      <c r="H93" s="14">
        <v>207</v>
      </c>
      <c r="I93" s="14">
        <v>234</v>
      </c>
      <c r="J93" s="14">
        <v>166</v>
      </c>
      <c r="K93" s="14"/>
      <c r="L93" s="14">
        <v>11</v>
      </c>
      <c r="M93" s="14">
        <v>125</v>
      </c>
      <c r="N93" s="14">
        <v>180</v>
      </c>
      <c r="O93" s="13">
        <f t="shared" si="2"/>
        <v>1841</v>
      </c>
      <c r="P93" s="14">
        <v>410256</v>
      </c>
      <c r="Q93" s="14">
        <v>468272</v>
      </c>
      <c r="R93" s="14">
        <v>375032</v>
      </c>
      <c r="S93" s="14">
        <v>383320</v>
      </c>
      <c r="T93" s="14">
        <v>265216</v>
      </c>
      <c r="U93" s="14">
        <v>428904</v>
      </c>
      <c r="V93" s="14">
        <v>484848</v>
      </c>
      <c r="W93" s="14">
        <v>343952</v>
      </c>
      <c r="X93" s="14"/>
      <c r="Y93" s="14">
        <v>22792</v>
      </c>
      <c r="Z93" s="14">
        <v>259000</v>
      </c>
      <c r="AA93" s="14">
        <v>372960</v>
      </c>
      <c r="AB93" s="13">
        <f t="shared" si="3"/>
        <v>3814552</v>
      </c>
    </row>
    <row r="94" spans="1:28" x14ac:dyDescent="0.3">
      <c r="A94" s="11">
        <v>88</v>
      </c>
      <c r="B94" s="12" t="s">
        <v>509</v>
      </c>
      <c r="C94" s="14">
        <v>46</v>
      </c>
      <c r="D94" s="14">
        <v>36</v>
      </c>
      <c r="E94" s="14">
        <v>36</v>
      </c>
      <c r="F94" s="14">
        <v>33</v>
      </c>
      <c r="G94" s="14">
        <v>38</v>
      </c>
      <c r="H94" s="14">
        <v>97</v>
      </c>
      <c r="I94" s="14">
        <v>51</v>
      </c>
      <c r="J94" s="14">
        <v>58</v>
      </c>
      <c r="K94" s="14">
        <v>41</v>
      </c>
      <c r="L94" s="14">
        <v>6</v>
      </c>
      <c r="M94" s="14"/>
      <c r="N94" s="14"/>
      <c r="O94" s="13">
        <f t="shared" si="2"/>
        <v>442</v>
      </c>
      <c r="P94" s="14">
        <v>102396</v>
      </c>
      <c r="Q94" s="14">
        <v>80136</v>
      </c>
      <c r="R94" s="14">
        <v>80136</v>
      </c>
      <c r="S94" s="14">
        <v>73458</v>
      </c>
      <c r="T94" s="14">
        <v>84588</v>
      </c>
      <c r="U94" s="14">
        <v>215922</v>
      </c>
      <c r="V94" s="14">
        <v>113526</v>
      </c>
      <c r="W94" s="14">
        <v>129108</v>
      </c>
      <c r="X94" s="14">
        <v>91266</v>
      </c>
      <c r="Y94" s="14">
        <v>13356</v>
      </c>
      <c r="Z94" s="14"/>
      <c r="AA94" s="14"/>
      <c r="AB94" s="13">
        <f t="shared" si="3"/>
        <v>983892</v>
      </c>
    </row>
    <row r="95" spans="1:28" x14ac:dyDescent="0.3">
      <c r="A95" s="11">
        <v>89</v>
      </c>
      <c r="B95" s="12" t="s">
        <v>229</v>
      </c>
      <c r="C95" s="14">
        <v>62</v>
      </c>
      <c r="D95" s="14">
        <v>84</v>
      </c>
      <c r="E95" s="14">
        <v>62</v>
      </c>
      <c r="F95" s="14">
        <v>63</v>
      </c>
      <c r="G95" s="14">
        <v>55</v>
      </c>
      <c r="H95" s="14">
        <v>68</v>
      </c>
      <c r="I95" s="14">
        <v>84</v>
      </c>
      <c r="J95" s="14">
        <v>82</v>
      </c>
      <c r="K95" s="14">
        <v>91</v>
      </c>
      <c r="L95" s="14">
        <v>232</v>
      </c>
      <c r="M95" s="14">
        <v>318</v>
      </c>
      <c r="N95" s="14">
        <v>285</v>
      </c>
      <c r="O95" s="13">
        <f t="shared" si="2"/>
        <v>1486</v>
      </c>
      <c r="P95" s="14">
        <v>138012</v>
      </c>
      <c r="Q95" s="14">
        <v>186984</v>
      </c>
      <c r="R95" s="14">
        <v>138012</v>
      </c>
      <c r="S95" s="14">
        <v>140238</v>
      </c>
      <c r="T95" s="14">
        <v>122430</v>
      </c>
      <c r="U95" s="14">
        <v>151368</v>
      </c>
      <c r="V95" s="14">
        <v>186984</v>
      </c>
      <c r="W95" s="14">
        <v>182532</v>
      </c>
      <c r="X95" s="14">
        <v>202566</v>
      </c>
      <c r="Y95" s="14">
        <v>516432</v>
      </c>
      <c r="Z95" s="14">
        <v>707868</v>
      </c>
      <c r="AA95" s="14">
        <v>634410</v>
      </c>
      <c r="AB95" s="13">
        <f t="shared" si="3"/>
        <v>3307836</v>
      </c>
    </row>
    <row r="96" spans="1:28" x14ac:dyDescent="0.3">
      <c r="A96" s="11">
        <v>90</v>
      </c>
      <c r="B96" s="12" t="s">
        <v>543</v>
      </c>
      <c r="C96" s="14">
        <v>569</v>
      </c>
      <c r="D96" s="14">
        <v>525</v>
      </c>
      <c r="E96" s="14">
        <v>539</v>
      </c>
      <c r="F96" s="14">
        <v>583</v>
      </c>
      <c r="G96" s="14">
        <v>566</v>
      </c>
      <c r="H96" s="14">
        <v>662</v>
      </c>
      <c r="I96" s="14">
        <v>961</v>
      </c>
      <c r="J96" s="14">
        <v>1253</v>
      </c>
      <c r="K96" s="14">
        <v>1269</v>
      </c>
      <c r="L96" s="14">
        <v>1395</v>
      </c>
      <c r="M96" s="14">
        <v>1184</v>
      </c>
      <c r="N96" s="14">
        <v>823</v>
      </c>
      <c r="O96" s="13">
        <f t="shared" si="2"/>
        <v>10329</v>
      </c>
      <c r="P96" s="14">
        <v>1266594</v>
      </c>
      <c r="Q96" s="14">
        <v>1168650</v>
      </c>
      <c r="R96" s="14">
        <v>1199814</v>
      </c>
      <c r="S96" s="14">
        <v>1297758</v>
      </c>
      <c r="T96" s="14">
        <v>1259916</v>
      </c>
      <c r="U96" s="14">
        <v>1473612</v>
      </c>
      <c r="V96" s="14">
        <v>2139186</v>
      </c>
      <c r="W96" s="14">
        <v>2789178</v>
      </c>
      <c r="X96" s="14">
        <v>2824794</v>
      </c>
      <c r="Y96" s="14">
        <v>3105270</v>
      </c>
      <c r="Z96" s="14">
        <v>2635584</v>
      </c>
      <c r="AA96" s="14">
        <v>1831998</v>
      </c>
      <c r="AB96" s="13">
        <f t="shared" si="3"/>
        <v>22992354</v>
      </c>
    </row>
    <row r="97" spans="1:28" x14ac:dyDescent="0.3">
      <c r="A97" s="11">
        <v>91</v>
      </c>
      <c r="B97" s="12" t="s">
        <v>461</v>
      </c>
      <c r="C97" s="14">
        <v>6</v>
      </c>
      <c r="D97" s="14">
        <v>55</v>
      </c>
      <c r="E97" s="14">
        <v>105</v>
      </c>
      <c r="F97" s="14">
        <v>225</v>
      </c>
      <c r="G97" s="14">
        <v>330</v>
      </c>
      <c r="H97" s="14">
        <v>288</v>
      </c>
      <c r="I97" s="14">
        <v>478</v>
      </c>
      <c r="J97" s="14">
        <v>277</v>
      </c>
      <c r="K97" s="14">
        <v>131</v>
      </c>
      <c r="L97" s="14">
        <v>227</v>
      </c>
      <c r="M97" s="14">
        <v>140</v>
      </c>
      <c r="N97" s="14">
        <v>260</v>
      </c>
      <c r="O97" s="13">
        <f t="shared" si="2"/>
        <v>2522</v>
      </c>
      <c r="P97" s="14">
        <v>12432</v>
      </c>
      <c r="Q97" s="14">
        <v>113960</v>
      </c>
      <c r="R97" s="14">
        <v>217560</v>
      </c>
      <c r="S97" s="14">
        <v>466200</v>
      </c>
      <c r="T97" s="14">
        <v>683760</v>
      </c>
      <c r="U97" s="14">
        <v>596736</v>
      </c>
      <c r="V97" s="14">
        <v>990416</v>
      </c>
      <c r="W97" s="14">
        <v>573944</v>
      </c>
      <c r="X97" s="14">
        <v>271432</v>
      </c>
      <c r="Y97" s="14">
        <v>470344</v>
      </c>
      <c r="Z97" s="14">
        <v>290080</v>
      </c>
      <c r="AA97" s="14">
        <v>538720</v>
      </c>
      <c r="AB97" s="13">
        <f t="shared" si="3"/>
        <v>5225584</v>
      </c>
    </row>
    <row r="98" spans="1:28" x14ac:dyDescent="0.3">
      <c r="A98" s="11">
        <v>92</v>
      </c>
      <c r="B98" s="12" t="s">
        <v>530</v>
      </c>
      <c r="C98" s="14">
        <v>319</v>
      </c>
      <c r="D98" s="14">
        <v>387</v>
      </c>
      <c r="E98" s="14">
        <v>488</v>
      </c>
      <c r="F98" s="14">
        <v>325</v>
      </c>
      <c r="G98" s="14">
        <v>384</v>
      </c>
      <c r="H98" s="14">
        <v>467</v>
      </c>
      <c r="I98" s="14">
        <v>516</v>
      </c>
      <c r="J98" s="14">
        <v>458</v>
      </c>
      <c r="K98" s="14">
        <v>441</v>
      </c>
      <c r="L98" s="14">
        <v>391</v>
      </c>
      <c r="M98" s="14">
        <v>439</v>
      </c>
      <c r="N98" s="14">
        <v>467</v>
      </c>
      <c r="O98" s="13">
        <f t="shared" si="2"/>
        <v>5082</v>
      </c>
      <c r="P98" s="14">
        <v>710094</v>
      </c>
      <c r="Q98" s="14">
        <v>861462</v>
      </c>
      <c r="R98" s="14">
        <v>1086288</v>
      </c>
      <c r="S98" s="14">
        <v>723450</v>
      </c>
      <c r="T98" s="14">
        <v>854784</v>
      </c>
      <c r="U98" s="14">
        <v>1039542</v>
      </c>
      <c r="V98" s="14">
        <v>1148616</v>
      </c>
      <c r="W98" s="14">
        <v>1019508</v>
      </c>
      <c r="X98" s="14">
        <v>981666</v>
      </c>
      <c r="Y98" s="14">
        <v>870366</v>
      </c>
      <c r="Z98" s="14">
        <v>977214</v>
      </c>
      <c r="AA98" s="14">
        <v>1039542</v>
      </c>
      <c r="AB98" s="13">
        <f t="shared" si="3"/>
        <v>11312532</v>
      </c>
    </row>
    <row r="99" spans="1:28" x14ac:dyDescent="0.3">
      <c r="A99" s="11">
        <v>93</v>
      </c>
      <c r="B99" s="12" t="s">
        <v>761</v>
      </c>
      <c r="C99" s="14">
        <v>211</v>
      </c>
      <c r="D99" s="14">
        <v>259</v>
      </c>
      <c r="E99" s="14">
        <v>206</v>
      </c>
      <c r="F99" s="14">
        <v>253</v>
      </c>
      <c r="G99" s="14">
        <v>390</v>
      </c>
      <c r="H99" s="14">
        <v>895</v>
      </c>
      <c r="I99" s="14">
        <v>237</v>
      </c>
      <c r="J99" s="14">
        <v>270</v>
      </c>
      <c r="K99" s="14">
        <v>335</v>
      </c>
      <c r="L99" s="14">
        <v>300</v>
      </c>
      <c r="M99" s="14">
        <v>309</v>
      </c>
      <c r="N99" s="14">
        <v>274</v>
      </c>
      <c r="O99" s="13">
        <f t="shared" si="2"/>
        <v>3939</v>
      </c>
      <c r="P99" s="14">
        <v>469686</v>
      </c>
      <c r="Q99" s="14">
        <v>576534</v>
      </c>
      <c r="R99" s="14">
        <v>458556</v>
      </c>
      <c r="S99" s="14">
        <v>563178</v>
      </c>
      <c r="T99" s="14">
        <v>868140</v>
      </c>
      <c r="U99" s="14">
        <v>1992270</v>
      </c>
      <c r="V99" s="14">
        <v>527562</v>
      </c>
      <c r="W99" s="14">
        <v>601020</v>
      </c>
      <c r="X99" s="14">
        <v>745710</v>
      </c>
      <c r="Y99" s="14">
        <v>667800</v>
      </c>
      <c r="Z99" s="14">
        <v>687834</v>
      </c>
      <c r="AA99" s="14">
        <v>609924</v>
      </c>
      <c r="AB99" s="13">
        <f t="shared" si="3"/>
        <v>8768214</v>
      </c>
    </row>
    <row r="100" spans="1:28" x14ac:dyDescent="0.3">
      <c r="A100" s="11">
        <v>94</v>
      </c>
      <c r="B100" s="12" t="s">
        <v>762</v>
      </c>
      <c r="C100" s="14">
        <v>469</v>
      </c>
      <c r="D100" s="14">
        <v>911</v>
      </c>
      <c r="E100" s="14">
        <v>496</v>
      </c>
      <c r="F100" s="14">
        <v>471</v>
      </c>
      <c r="G100" s="14">
        <v>630</v>
      </c>
      <c r="H100" s="14">
        <v>376</v>
      </c>
      <c r="I100" s="14">
        <v>338</v>
      </c>
      <c r="J100" s="14">
        <v>418</v>
      </c>
      <c r="K100" s="14">
        <v>415</v>
      </c>
      <c r="L100" s="14">
        <v>417</v>
      </c>
      <c r="M100" s="14">
        <v>432</v>
      </c>
      <c r="N100" s="14">
        <v>402</v>
      </c>
      <c r="O100" s="13">
        <f t="shared" si="2"/>
        <v>5775</v>
      </c>
      <c r="P100" s="14">
        <v>1043994</v>
      </c>
      <c r="Q100" s="14">
        <v>2027886</v>
      </c>
      <c r="R100" s="14">
        <v>1104096</v>
      </c>
      <c r="S100" s="14">
        <v>1048446</v>
      </c>
      <c r="T100" s="14">
        <v>1402380</v>
      </c>
      <c r="U100" s="14">
        <v>836976</v>
      </c>
      <c r="V100" s="14">
        <v>752388</v>
      </c>
      <c r="W100" s="14">
        <v>930468</v>
      </c>
      <c r="X100" s="14">
        <v>923790</v>
      </c>
      <c r="Y100" s="14">
        <v>928242</v>
      </c>
      <c r="Z100" s="14">
        <v>961632</v>
      </c>
      <c r="AA100" s="14">
        <v>894852</v>
      </c>
      <c r="AB100" s="13">
        <f t="shared" si="3"/>
        <v>12855150</v>
      </c>
    </row>
    <row r="101" spans="1:28" x14ac:dyDescent="0.3">
      <c r="A101" s="11">
        <v>95</v>
      </c>
      <c r="B101" s="12" t="s">
        <v>763</v>
      </c>
      <c r="C101" s="14">
        <v>446</v>
      </c>
      <c r="D101" s="14">
        <v>600</v>
      </c>
      <c r="E101" s="14">
        <v>522</v>
      </c>
      <c r="F101" s="14">
        <v>538</v>
      </c>
      <c r="G101" s="14">
        <v>504</v>
      </c>
      <c r="H101" s="14">
        <v>564</v>
      </c>
      <c r="I101" s="14">
        <v>634</v>
      </c>
      <c r="J101" s="14">
        <v>618</v>
      </c>
      <c r="K101" s="14">
        <v>598</v>
      </c>
      <c r="L101" s="14">
        <v>590</v>
      </c>
      <c r="M101" s="14">
        <v>547</v>
      </c>
      <c r="N101" s="14">
        <v>480</v>
      </c>
      <c r="O101" s="13">
        <f t="shared" si="2"/>
        <v>6641</v>
      </c>
      <c r="P101" s="14">
        <v>992796</v>
      </c>
      <c r="Q101" s="14">
        <v>1335600</v>
      </c>
      <c r="R101" s="14">
        <v>1161972</v>
      </c>
      <c r="S101" s="14">
        <v>1197588</v>
      </c>
      <c r="T101" s="14">
        <v>1121904</v>
      </c>
      <c r="U101" s="14">
        <v>1255464</v>
      </c>
      <c r="V101" s="14">
        <v>1411284</v>
      </c>
      <c r="W101" s="14">
        <v>1375668</v>
      </c>
      <c r="X101" s="14">
        <v>1331148</v>
      </c>
      <c r="Y101" s="14">
        <v>1313340</v>
      </c>
      <c r="Z101" s="14">
        <v>1217622</v>
      </c>
      <c r="AA101" s="14">
        <v>1068480</v>
      </c>
      <c r="AB101" s="13">
        <f t="shared" si="3"/>
        <v>14782866</v>
      </c>
    </row>
    <row r="102" spans="1:28" x14ac:dyDescent="0.3">
      <c r="A102" s="11">
        <v>96</v>
      </c>
      <c r="B102" s="12" t="s">
        <v>510</v>
      </c>
      <c r="C102" s="14">
        <v>82</v>
      </c>
      <c r="D102" s="14">
        <v>123</v>
      </c>
      <c r="E102" s="14">
        <v>90</v>
      </c>
      <c r="F102" s="14">
        <v>95</v>
      </c>
      <c r="G102" s="14">
        <v>81</v>
      </c>
      <c r="H102" s="14">
        <v>104</v>
      </c>
      <c r="I102" s="14">
        <v>89</v>
      </c>
      <c r="J102" s="14">
        <v>88</v>
      </c>
      <c r="K102" s="14">
        <v>120</v>
      </c>
      <c r="L102" s="14">
        <v>127</v>
      </c>
      <c r="M102" s="14">
        <v>121</v>
      </c>
      <c r="N102" s="14">
        <v>122</v>
      </c>
      <c r="O102" s="13">
        <f t="shared" si="2"/>
        <v>1242</v>
      </c>
      <c r="P102" s="14">
        <v>182532</v>
      </c>
      <c r="Q102" s="14">
        <v>273798</v>
      </c>
      <c r="R102" s="14">
        <v>200340</v>
      </c>
      <c r="S102" s="14">
        <v>211470</v>
      </c>
      <c r="T102" s="14">
        <v>180306</v>
      </c>
      <c r="U102" s="14">
        <v>231504</v>
      </c>
      <c r="V102" s="14">
        <v>198114</v>
      </c>
      <c r="W102" s="14">
        <v>195888</v>
      </c>
      <c r="X102" s="14">
        <v>267120</v>
      </c>
      <c r="Y102" s="14">
        <v>282702</v>
      </c>
      <c r="Z102" s="14">
        <v>269346</v>
      </c>
      <c r="AA102" s="14">
        <v>271572</v>
      </c>
      <c r="AB102" s="13">
        <f t="shared" si="3"/>
        <v>2764692</v>
      </c>
    </row>
    <row r="103" spans="1:28" x14ac:dyDescent="0.3">
      <c r="A103" s="11">
        <v>97</v>
      </c>
      <c r="B103" s="12" t="s">
        <v>418</v>
      </c>
      <c r="C103" s="14">
        <v>793</v>
      </c>
      <c r="D103" s="14">
        <v>908</v>
      </c>
      <c r="E103" s="14">
        <v>758</v>
      </c>
      <c r="F103" s="14">
        <v>687</v>
      </c>
      <c r="G103" s="14">
        <v>436</v>
      </c>
      <c r="H103" s="14">
        <v>790</v>
      </c>
      <c r="I103" s="14">
        <v>747</v>
      </c>
      <c r="J103" s="14">
        <v>544</v>
      </c>
      <c r="K103" s="14">
        <v>158</v>
      </c>
      <c r="L103" s="14">
        <v>215</v>
      </c>
      <c r="M103" s="14">
        <v>276</v>
      </c>
      <c r="N103" s="14">
        <v>838</v>
      </c>
      <c r="O103" s="13">
        <f t="shared" si="2"/>
        <v>7150</v>
      </c>
      <c r="P103" s="14">
        <v>1643096</v>
      </c>
      <c r="Q103" s="14">
        <v>1881376</v>
      </c>
      <c r="R103" s="14">
        <v>1570576</v>
      </c>
      <c r="S103" s="14">
        <v>1423464</v>
      </c>
      <c r="T103" s="14">
        <v>903392</v>
      </c>
      <c r="U103" s="14">
        <v>1636880</v>
      </c>
      <c r="V103" s="14">
        <v>1547784</v>
      </c>
      <c r="W103" s="14">
        <v>1127168</v>
      </c>
      <c r="X103" s="14">
        <v>327376</v>
      </c>
      <c r="Y103" s="14">
        <v>445480</v>
      </c>
      <c r="Z103" s="14">
        <v>571872</v>
      </c>
      <c r="AA103" s="14">
        <v>1736336</v>
      </c>
      <c r="AB103" s="13">
        <f t="shared" si="3"/>
        <v>14814800</v>
      </c>
    </row>
    <row r="104" spans="1:28" x14ac:dyDescent="0.3">
      <c r="A104" s="11">
        <v>98</v>
      </c>
      <c r="B104" s="12" t="s">
        <v>305</v>
      </c>
      <c r="C104" s="14">
        <v>1571</v>
      </c>
      <c r="D104" s="14">
        <v>1891</v>
      </c>
      <c r="E104" s="14">
        <v>1490</v>
      </c>
      <c r="F104" s="14">
        <v>1147</v>
      </c>
      <c r="G104" s="14">
        <v>1530</v>
      </c>
      <c r="H104" s="14">
        <v>2036</v>
      </c>
      <c r="I104" s="14">
        <v>2417</v>
      </c>
      <c r="J104" s="14">
        <v>2660</v>
      </c>
      <c r="K104" s="14">
        <v>1858</v>
      </c>
      <c r="L104" s="14">
        <v>1016</v>
      </c>
      <c r="M104" s="14">
        <v>922</v>
      </c>
      <c r="N104" s="14">
        <v>989</v>
      </c>
      <c r="O104" s="13">
        <f t="shared" si="2"/>
        <v>19527</v>
      </c>
      <c r="P104" s="14">
        <v>3255112</v>
      </c>
      <c r="Q104" s="14">
        <v>3918152</v>
      </c>
      <c r="R104" s="14">
        <v>3087280</v>
      </c>
      <c r="S104" s="14">
        <v>2376584</v>
      </c>
      <c r="T104" s="14">
        <v>3170160</v>
      </c>
      <c r="U104" s="14">
        <v>4218592</v>
      </c>
      <c r="V104" s="14">
        <v>5008024</v>
      </c>
      <c r="W104" s="14">
        <v>5511520</v>
      </c>
      <c r="X104" s="14">
        <v>3849776</v>
      </c>
      <c r="Y104" s="14">
        <v>2105152</v>
      </c>
      <c r="Z104" s="14">
        <v>1910384</v>
      </c>
      <c r="AA104" s="14">
        <v>2049208</v>
      </c>
      <c r="AB104" s="13">
        <f t="shared" si="3"/>
        <v>40459944</v>
      </c>
    </row>
    <row r="105" spans="1:28" x14ac:dyDescent="0.3">
      <c r="A105" s="11">
        <v>99</v>
      </c>
      <c r="B105" s="12" t="s">
        <v>511</v>
      </c>
      <c r="C105" s="14">
        <v>16</v>
      </c>
      <c r="D105" s="14">
        <v>44</v>
      </c>
      <c r="E105" s="14">
        <v>52</v>
      </c>
      <c r="F105" s="14">
        <v>62</v>
      </c>
      <c r="G105" s="14">
        <v>28</v>
      </c>
      <c r="H105" s="14">
        <v>58</v>
      </c>
      <c r="I105" s="14">
        <v>40</v>
      </c>
      <c r="J105" s="14">
        <v>63</v>
      </c>
      <c r="K105" s="14">
        <v>54</v>
      </c>
      <c r="L105" s="14"/>
      <c r="M105" s="14">
        <v>7</v>
      </c>
      <c r="N105" s="14">
        <v>3</v>
      </c>
      <c r="O105" s="13">
        <f t="shared" si="2"/>
        <v>427</v>
      </c>
      <c r="P105" s="14">
        <v>35616</v>
      </c>
      <c r="Q105" s="14">
        <v>97944</v>
      </c>
      <c r="R105" s="14">
        <v>115752</v>
      </c>
      <c r="S105" s="14">
        <v>138012</v>
      </c>
      <c r="T105" s="14">
        <v>62328</v>
      </c>
      <c r="U105" s="14">
        <v>129108</v>
      </c>
      <c r="V105" s="14">
        <v>89040</v>
      </c>
      <c r="W105" s="14">
        <v>140238</v>
      </c>
      <c r="X105" s="14">
        <v>120204</v>
      </c>
      <c r="Y105" s="14"/>
      <c r="Z105" s="14">
        <v>15582</v>
      </c>
      <c r="AA105" s="14">
        <v>6678</v>
      </c>
      <c r="AB105" s="13">
        <f t="shared" si="3"/>
        <v>950502</v>
      </c>
    </row>
    <row r="106" spans="1:28" x14ac:dyDescent="0.3">
      <c r="A106" s="11">
        <v>100</v>
      </c>
      <c r="B106" s="12" t="s">
        <v>387</v>
      </c>
      <c r="C106" s="14">
        <v>456</v>
      </c>
      <c r="D106" s="14">
        <v>506</v>
      </c>
      <c r="E106" s="14">
        <v>473</v>
      </c>
      <c r="F106" s="14">
        <v>394</v>
      </c>
      <c r="G106" s="14">
        <v>250</v>
      </c>
      <c r="H106" s="14">
        <v>490</v>
      </c>
      <c r="I106" s="14">
        <v>529</v>
      </c>
      <c r="J106" s="14">
        <v>407</v>
      </c>
      <c r="K106" s="14">
        <v>64</v>
      </c>
      <c r="L106" s="14">
        <v>109</v>
      </c>
      <c r="M106" s="14">
        <v>255</v>
      </c>
      <c r="N106" s="14">
        <v>180</v>
      </c>
      <c r="O106" s="13">
        <f t="shared" si="2"/>
        <v>4113</v>
      </c>
      <c r="P106" s="14">
        <v>944832</v>
      </c>
      <c r="Q106" s="14">
        <v>1048432</v>
      </c>
      <c r="R106" s="14">
        <v>980056</v>
      </c>
      <c r="S106" s="14">
        <v>816368</v>
      </c>
      <c r="T106" s="14">
        <v>518000</v>
      </c>
      <c r="U106" s="14">
        <v>1015280</v>
      </c>
      <c r="V106" s="14">
        <v>1096088</v>
      </c>
      <c r="W106" s="14">
        <v>843304</v>
      </c>
      <c r="X106" s="14">
        <v>132608</v>
      </c>
      <c r="Y106" s="14">
        <v>225848</v>
      </c>
      <c r="Z106" s="14">
        <v>528360</v>
      </c>
      <c r="AA106" s="14">
        <v>372960</v>
      </c>
      <c r="AB106" s="13">
        <f t="shared" si="3"/>
        <v>8522136</v>
      </c>
    </row>
    <row r="107" spans="1:28" x14ac:dyDescent="0.3">
      <c r="A107" s="11">
        <v>101</v>
      </c>
      <c r="B107" s="12" t="s">
        <v>512</v>
      </c>
      <c r="C107" s="14">
        <v>12</v>
      </c>
      <c r="D107" s="14">
        <v>22</v>
      </c>
      <c r="E107" s="14">
        <v>8</v>
      </c>
      <c r="F107" s="14">
        <v>15</v>
      </c>
      <c r="G107" s="14">
        <v>29</v>
      </c>
      <c r="H107" s="14">
        <v>48</v>
      </c>
      <c r="I107" s="14">
        <v>11</v>
      </c>
      <c r="J107" s="14">
        <v>18</v>
      </c>
      <c r="K107" s="14">
        <v>13</v>
      </c>
      <c r="L107" s="14">
        <v>11</v>
      </c>
      <c r="M107" s="14">
        <v>22</v>
      </c>
      <c r="N107" s="14">
        <v>21</v>
      </c>
      <c r="O107" s="13">
        <f t="shared" si="2"/>
        <v>230</v>
      </c>
      <c r="P107" s="14">
        <v>26712</v>
      </c>
      <c r="Q107" s="14">
        <v>48972</v>
      </c>
      <c r="R107" s="14">
        <v>17808</v>
      </c>
      <c r="S107" s="14">
        <v>33390</v>
      </c>
      <c r="T107" s="14">
        <v>64554</v>
      </c>
      <c r="U107" s="14">
        <v>106848</v>
      </c>
      <c r="V107" s="14">
        <v>24486</v>
      </c>
      <c r="W107" s="14">
        <v>40068</v>
      </c>
      <c r="X107" s="14">
        <v>28938</v>
      </c>
      <c r="Y107" s="14">
        <v>24486</v>
      </c>
      <c r="Z107" s="14">
        <v>48972</v>
      </c>
      <c r="AA107" s="14">
        <v>46746</v>
      </c>
      <c r="AB107" s="13">
        <f t="shared" si="3"/>
        <v>511980</v>
      </c>
    </row>
    <row r="108" spans="1:28" x14ac:dyDescent="0.3">
      <c r="A108" s="11">
        <v>102</v>
      </c>
      <c r="B108" s="12" t="s">
        <v>503</v>
      </c>
      <c r="C108" s="14">
        <v>27</v>
      </c>
      <c r="D108" s="14">
        <v>51</v>
      </c>
      <c r="E108" s="14">
        <v>38</v>
      </c>
      <c r="F108" s="14">
        <v>52</v>
      </c>
      <c r="G108" s="14">
        <v>43</v>
      </c>
      <c r="H108" s="14">
        <v>94</v>
      </c>
      <c r="I108" s="14">
        <v>25</v>
      </c>
      <c r="J108" s="14">
        <v>33</v>
      </c>
      <c r="K108" s="14">
        <v>15</v>
      </c>
      <c r="L108" s="14">
        <v>6</v>
      </c>
      <c r="M108" s="14">
        <v>19</v>
      </c>
      <c r="N108" s="14">
        <v>11</v>
      </c>
      <c r="O108" s="13">
        <f t="shared" si="2"/>
        <v>414</v>
      </c>
      <c r="P108" s="14">
        <v>60102</v>
      </c>
      <c r="Q108" s="14">
        <v>113526</v>
      </c>
      <c r="R108" s="14">
        <v>84588</v>
      </c>
      <c r="S108" s="14">
        <v>115752</v>
      </c>
      <c r="T108" s="14">
        <v>95718</v>
      </c>
      <c r="U108" s="14">
        <v>209244</v>
      </c>
      <c r="V108" s="14">
        <v>55650</v>
      </c>
      <c r="W108" s="14">
        <v>73458</v>
      </c>
      <c r="X108" s="14">
        <v>33390</v>
      </c>
      <c r="Y108" s="14">
        <v>13356</v>
      </c>
      <c r="Z108" s="14">
        <v>42294</v>
      </c>
      <c r="AA108" s="14">
        <v>24486</v>
      </c>
      <c r="AB108" s="13">
        <f t="shared" si="3"/>
        <v>921564</v>
      </c>
    </row>
    <row r="109" spans="1:28" x14ac:dyDescent="0.3">
      <c r="A109" s="11">
        <v>103</v>
      </c>
      <c r="B109" s="12" t="s">
        <v>420</v>
      </c>
      <c r="C109" s="14">
        <v>3041</v>
      </c>
      <c r="D109" s="14">
        <v>2932</v>
      </c>
      <c r="E109" s="14">
        <v>2952</v>
      </c>
      <c r="F109" s="14">
        <v>2842</v>
      </c>
      <c r="G109" s="14">
        <v>2516</v>
      </c>
      <c r="H109" s="14">
        <v>3476</v>
      </c>
      <c r="I109" s="14">
        <v>3449</v>
      </c>
      <c r="J109" s="14">
        <v>3043</v>
      </c>
      <c r="K109" s="14">
        <v>1956</v>
      </c>
      <c r="L109" s="14">
        <v>1888</v>
      </c>
      <c r="M109" s="14">
        <v>2143</v>
      </c>
      <c r="N109" s="14">
        <v>3179</v>
      </c>
      <c r="O109" s="13">
        <f t="shared" si="2"/>
        <v>33417</v>
      </c>
      <c r="P109" s="14">
        <v>6300952</v>
      </c>
      <c r="Q109" s="14">
        <v>6075104</v>
      </c>
      <c r="R109" s="14">
        <v>6116544</v>
      </c>
      <c r="S109" s="14">
        <v>5888624</v>
      </c>
      <c r="T109" s="14">
        <v>5213152</v>
      </c>
      <c r="U109" s="14">
        <v>7202272</v>
      </c>
      <c r="V109" s="14">
        <v>7146328</v>
      </c>
      <c r="W109" s="14">
        <v>6305096</v>
      </c>
      <c r="X109" s="14">
        <v>4052832</v>
      </c>
      <c r="Y109" s="14">
        <v>3911936</v>
      </c>
      <c r="Z109" s="14">
        <v>4440296</v>
      </c>
      <c r="AA109" s="14">
        <v>6586888</v>
      </c>
      <c r="AB109" s="13">
        <f t="shared" si="3"/>
        <v>69240024</v>
      </c>
    </row>
    <row r="110" spans="1:28" x14ac:dyDescent="0.3">
      <c r="A110" s="11">
        <v>104</v>
      </c>
      <c r="B110" s="12" t="s">
        <v>504</v>
      </c>
      <c r="C110" s="14">
        <v>478</v>
      </c>
      <c r="D110" s="14">
        <v>370</v>
      </c>
      <c r="E110" s="14">
        <v>310</v>
      </c>
      <c r="F110" s="14">
        <v>506</v>
      </c>
      <c r="G110" s="14">
        <v>400</v>
      </c>
      <c r="H110" s="14">
        <v>557</v>
      </c>
      <c r="I110" s="14">
        <v>335</v>
      </c>
      <c r="J110" s="14">
        <v>316</v>
      </c>
      <c r="K110" s="14">
        <v>253</v>
      </c>
      <c r="L110" s="14">
        <v>260</v>
      </c>
      <c r="M110" s="14">
        <v>109</v>
      </c>
      <c r="N110" s="14">
        <v>89</v>
      </c>
      <c r="O110" s="13">
        <f t="shared" si="2"/>
        <v>3983</v>
      </c>
      <c r="P110" s="14">
        <v>1064028</v>
      </c>
      <c r="Q110" s="14">
        <v>823620</v>
      </c>
      <c r="R110" s="14">
        <v>690060</v>
      </c>
      <c r="S110" s="14">
        <v>1126356</v>
      </c>
      <c r="T110" s="14">
        <v>890400</v>
      </c>
      <c r="U110" s="14">
        <v>1239882</v>
      </c>
      <c r="V110" s="14">
        <v>745710</v>
      </c>
      <c r="W110" s="14">
        <v>703416</v>
      </c>
      <c r="X110" s="14">
        <v>563178</v>
      </c>
      <c r="Y110" s="14">
        <v>578760</v>
      </c>
      <c r="Z110" s="14">
        <v>242634</v>
      </c>
      <c r="AA110" s="14">
        <v>198114</v>
      </c>
      <c r="AB110" s="13">
        <f t="shared" si="3"/>
        <v>8866158</v>
      </c>
    </row>
    <row r="111" spans="1:28" x14ac:dyDescent="0.3">
      <c r="A111" s="11">
        <v>105</v>
      </c>
      <c r="B111" s="12" t="s">
        <v>223</v>
      </c>
      <c r="C111" s="14">
        <v>1333</v>
      </c>
      <c r="D111" s="14">
        <v>1125</v>
      </c>
      <c r="E111" s="14">
        <v>711</v>
      </c>
      <c r="F111" s="14">
        <v>626</v>
      </c>
      <c r="G111" s="14">
        <v>988</v>
      </c>
      <c r="H111" s="14">
        <v>1418</v>
      </c>
      <c r="I111" s="14">
        <v>1749</v>
      </c>
      <c r="J111" s="14">
        <v>1768</v>
      </c>
      <c r="K111" s="14">
        <v>1529</v>
      </c>
      <c r="L111" s="14">
        <v>1033</v>
      </c>
      <c r="M111" s="14">
        <v>1558</v>
      </c>
      <c r="N111" s="14">
        <v>1280</v>
      </c>
      <c r="O111" s="13">
        <f t="shared" si="2"/>
        <v>15118</v>
      </c>
      <c r="P111" s="14">
        <v>2967258</v>
      </c>
      <c r="Q111" s="14">
        <v>2504250</v>
      </c>
      <c r="R111" s="14">
        <v>1582686</v>
      </c>
      <c r="S111" s="14">
        <v>1393476</v>
      </c>
      <c r="T111" s="14">
        <v>2199288</v>
      </c>
      <c r="U111" s="14">
        <v>3156468</v>
      </c>
      <c r="V111" s="14">
        <v>3893274</v>
      </c>
      <c r="W111" s="14">
        <v>3935568</v>
      </c>
      <c r="X111" s="14">
        <v>3403554</v>
      </c>
      <c r="Y111" s="14">
        <v>2299458</v>
      </c>
      <c r="Z111" s="14">
        <v>3468108</v>
      </c>
      <c r="AA111" s="14">
        <v>2849280</v>
      </c>
      <c r="AB111" s="13">
        <f t="shared" si="3"/>
        <v>33652668</v>
      </c>
    </row>
    <row r="112" spans="1:28" x14ac:dyDescent="0.3">
      <c r="A112" s="11">
        <v>106</v>
      </c>
      <c r="B112" s="12" t="s">
        <v>224</v>
      </c>
      <c r="C112" s="14">
        <v>879</v>
      </c>
      <c r="D112" s="14">
        <v>864</v>
      </c>
      <c r="E112" s="14">
        <v>1016</v>
      </c>
      <c r="F112" s="14">
        <v>609</v>
      </c>
      <c r="G112" s="14">
        <v>902</v>
      </c>
      <c r="H112" s="14">
        <v>1425</v>
      </c>
      <c r="I112" s="14">
        <v>1424</v>
      </c>
      <c r="J112" s="14">
        <v>1577</v>
      </c>
      <c r="K112" s="14">
        <v>1559</v>
      </c>
      <c r="L112" s="14">
        <v>1546</v>
      </c>
      <c r="M112" s="14">
        <v>1566</v>
      </c>
      <c r="N112" s="14">
        <v>1288</v>
      </c>
      <c r="O112" s="13">
        <f t="shared" si="2"/>
        <v>14655</v>
      </c>
      <c r="P112" s="14">
        <v>1956654</v>
      </c>
      <c r="Q112" s="14">
        <v>1923264</v>
      </c>
      <c r="R112" s="14">
        <v>2261616</v>
      </c>
      <c r="S112" s="14">
        <v>1355634</v>
      </c>
      <c r="T112" s="14">
        <v>2007852</v>
      </c>
      <c r="U112" s="14">
        <v>3172050</v>
      </c>
      <c r="V112" s="14">
        <v>3169824</v>
      </c>
      <c r="W112" s="14">
        <v>3510402</v>
      </c>
      <c r="X112" s="14">
        <v>3470334</v>
      </c>
      <c r="Y112" s="14">
        <v>3441396</v>
      </c>
      <c r="Z112" s="14">
        <v>3485916</v>
      </c>
      <c r="AA112" s="14">
        <v>2867088</v>
      </c>
      <c r="AB112" s="13">
        <f t="shared" si="3"/>
        <v>32622030</v>
      </c>
    </row>
    <row r="113" spans="1:28" x14ac:dyDescent="0.3">
      <c r="A113" s="11">
        <v>107</v>
      </c>
      <c r="B113" s="12" t="s">
        <v>505</v>
      </c>
      <c r="C113" s="14">
        <v>2861</v>
      </c>
      <c r="D113" s="14">
        <v>2756</v>
      </c>
      <c r="E113" s="14">
        <v>2892</v>
      </c>
      <c r="F113" s="14">
        <v>2375</v>
      </c>
      <c r="G113" s="14">
        <v>2443</v>
      </c>
      <c r="H113" s="14">
        <v>3136</v>
      </c>
      <c r="I113" s="14">
        <v>3568</v>
      </c>
      <c r="J113" s="14">
        <v>4310</v>
      </c>
      <c r="K113" s="14">
        <v>3896</v>
      </c>
      <c r="L113" s="14">
        <v>4025</v>
      </c>
      <c r="M113" s="14">
        <v>3786</v>
      </c>
      <c r="N113" s="14">
        <v>3030</v>
      </c>
      <c r="O113" s="13">
        <f t="shared" si="2"/>
        <v>39078</v>
      </c>
      <c r="P113" s="14">
        <v>6368586</v>
      </c>
      <c r="Q113" s="14">
        <v>6134856</v>
      </c>
      <c r="R113" s="14">
        <v>6437592</v>
      </c>
      <c r="S113" s="14">
        <v>5286750</v>
      </c>
      <c r="T113" s="14">
        <v>5438118</v>
      </c>
      <c r="U113" s="14">
        <v>6980736</v>
      </c>
      <c r="V113" s="14">
        <v>7942368</v>
      </c>
      <c r="W113" s="14">
        <v>9594060</v>
      </c>
      <c r="X113" s="14">
        <v>8672496</v>
      </c>
      <c r="Y113" s="14">
        <v>8959650</v>
      </c>
      <c r="Z113" s="14">
        <v>8427636</v>
      </c>
      <c r="AA113" s="14">
        <v>6744780</v>
      </c>
      <c r="AB113" s="13">
        <f t="shared" si="3"/>
        <v>86987628</v>
      </c>
    </row>
    <row r="114" spans="1:28" x14ac:dyDescent="0.3">
      <c r="A114" s="11">
        <v>108</v>
      </c>
      <c r="B114" s="12" t="s">
        <v>307</v>
      </c>
      <c r="C114" s="14">
        <v>583</v>
      </c>
      <c r="D114" s="14">
        <v>629</v>
      </c>
      <c r="E114" s="14">
        <v>616</v>
      </c>
      <c r="F114" s="14">
        <v>495</v>
      </c>
      <c r="G114" s="14">
        <v>473</v>
      </c>
      <c r="H114" s="14">
        <v>587</v>
      </c>
      <c r="I114" s="14">
        <v>616</v>
      </c>
      <c r="J114" s="14">
        <v>706</v>
      </c>
      <c r="K114" s="14">
        <v>635</v>
      </c>
      <c r="L114" s="14">
        <v>610</v>
      </c>
      <c r="M114" s="14">
        <v>597</v>
      </c>
      <c r="N114" s="14">
        <v>519</v>
      </c>
      <c r="O114" s="13">
        <f t="shared" si="2"/>
        <v>7066</v>
      </c>
      <c r="P114" s="14">
        <v>1207976</v>
      </c>
      <c r="Q114" s="14">
        <v>1303288</v>
      </c>
      <c r="R114" s="14">
        <v>1276352</v>
      </c>
      <c r="S114" s="14">
        <v>1025640</v>
      </c>
      <c r="T114" s="14">
        <v>980056</v>
      </c>
      <c r="U114" s="14">
        <v>1216264</v>
      </c>
      <c r="V114" s="14">
        <v>1276352</v>
      </c>
      <c r="W114" s="14">
        <v>1462832</v>
      </c>
      <c r="X114" s="14">
        <v>1315720</v>
      </c>
      <c r="Y114" s="14">
        <v>1263920</v>
      </c>
      <c r="Z114" s="14">
        <v>1236984</v>
      </c>
      <c r="AA114" s="14">
        <v>1075368</v>
      </c>
      <c r="AB114" s="13">
        <f t="shared" si="3"/>
        <v>14640752</v>
      </c>
    </row>
    <row r="115" spans="1:28" x14ac:dyDescent="0.3">
      <c r="A115" s="11">
        <v>109</v>
      </c>
      <c r="B115" s="12" t="s">
        <v>764</v>
      </c>
      <c r="C115" s="14">
        <v>1485</v>
      </c>
      <c r="D115" s="14">
        <v>1450</v>
      </c>
      <c r="E115" s="14">
        <v>1519</v>
      </c>
      <c r="F115" s="14">
        <v>1506</v>
      </c>
      <c r="G115" s="14">
        <v>1849</v>
      </c>
      <c r="H115" s="14">
        <v>2422</v>
      </c>
      <c r="I115" s="14">
        <v>1749</v>
      </c>
      <c r="J115" s="14">
        <v>1861</v>
      </c>
      <c r="K115" s="14">
        <v>1729</v>
      </c>
      <c r="L115" s="14">
        <v>1725</v>
      </c>
      <c r="M115" s="14">
        <v>1911</v>
      </c>
      <c r="N115" s="14">
        <v>1482</v>
      </c>
      <c r="O115" s="13">
        <f t="shared" si="2"/>
        <v>20688</v>
      </c>
      <c r="P115" s="14">
        <v>3305610</v>
      </c>
      <c r="Q115" s="14">
        <v>3227700</v>
      </c>
      <c r="R115" s="14">
        <v>3381294</v>
      </c>
      <c r="S115" s="14">
        <v>3352356</v>
      </c>
      <c r="T115" s="14">
        <v>4115874</v>
      </c>
      <c r="U115" s="14">
        <v>5391372</v>
      </c>
      <c r="V115" s="14">
        <v>3893274</v>
      </c>
      <c r="W115" s="14">
        <v>4142586</v>
      </c>
      <c r="X115" s="14">
        <v>3848754</v>
      </c>
      <c r="Y115" s="14">
        <v>3839850</v>
      </c>
      <c r="Z115" s="14">
        <v>4253886</v>
      </c>
      <c r="AA115" s="14">
        <v>3298932</v>
      </c>
      <c r="AB115" s="13">
        <f t="shared" si="3"/>
        <v>46051488</v>
      </c>
    </row>
    <row r="116" spans="1:28" x14ac:dyDescent="0.3">
      <c r="A116" s="11">
        <v>110</v>
      </c>
      <c r="B116" s="12" t="s">
        <v>412</v>
      </c>
      <c r="C116" s="14">
        <v>712</v>
      </c>
      <c r="D116" s="14">
        <v>618</v>
      </c>
      <c r="E116" s="14">
        <v>687</v>
      </c>
      <c r="F116" s="14">
        <v>618</v>
      </c>
      <c r="G116" s="14">
        <v>381</v>
      </c>
      <c r="H116" s="14">
        <v>707</v>
      </c>
      <c r="I116" s="14">
        <v>700</v>
      </c>
      <c r="J116" s="14">
        <v>559</v>
      </c>
      <c r="K116" s="14">
        <v>110</v>
      </c>
      <c r="L116" s="14">
        <v>87</v>
      </c>
      <c r="M116" s="14">
        <v>130</v>
      </c>
      <c r="N116" s="14">
        <v>596</v>
      </c>
      <c r="O116" s="13">
        <f t="shared" si="2"/>
        <v>5905</v>
      </c>
      <c r="P116" s="14">
        <v>1475264</v>
      </c>
      <c r="Q116" s="14">
        <v>1280496</v>
      </c>
      <c r="R116" s="14">
        <v>1423464</v>
      </c>
      <c r="S116" s="14">
        <v>1280496</v>
      </c>
      <c r="T116" s="14">
        <v>789432</v>
      </c>
      <c r="U116" s="14">
        <v>1464904</v>
      </c>
      <c r="V116" s="14">
        <v>1450400</v>
      </c>
      <c r="W116" s="14">
        <v>1158248</v>
      </c>
      <c r="X116" s="14">
        <v>227920</v>
      </c>
      <c r="Y116" s="14">
        <v>180264</v>
      </c>
      <c r="Z116" s="14">
        <v>269360</v>
      </c>
      <c r="AA116" s="14">
        <v>1234912</v>
      </c>
      <c r="AB116" s="13">
        <f t="shared" si="3"/>
        <v>12235160</v>
      </c>
    </row>
    <row r="117" spans="1:28" x14ac:dyDescent="0.3">
      <c r="A117" s="11">
        <v>111</v>
      </c>
      <c r="B117" s="12" t="s">
        <v>331</v>
      </c>
      <c r="C117" s="14">
        <v>13</v>
      </c>
      <c r="D117" s="14">
        <v>18</v>
      </c>
      <c r="E117" s="14">
        <v>23</v>
      </c>
      <c r="F117" s="14">
        <v>8</v>
      </c>
      <c r="G117" s="14">
        <v>58</v>
      </c>
      <c r="H117" s="14">
        <v>72</v>
      </c>
      <c r="I117" s="14">
        <v>59</v>
      </c>
      <c r="J117" s="14">
        <v>56</v>
      </c>
      <c r="K117" s="14">
        <v>58</v>
      </c>
      <c r="L117" s="14">
        <v>50</v>
      </c>
      <c r="M117" s="14">
        <v>13</v>
      </c>
      <c r="N117" s="14">
        <v>8</v>
      </c>
      <c r="O117" s="13">
        <f t="shared" si="2"/>
        <v>436</v>
      </c>
      <c r="P117" s="14">
        <v>28938</v>
      </c>
      <c r="Q117" s="14">
        <v>40068</v>
      </c>
      <c r="R117" s="14">
        <v>51198</v>
      </c>
      <c r="S117" s="14">
        <v>17808</v>
      </c>
      <c r="T117" s="14">
        <v>129108</v>
      </c>
      <c r="U117" s="14">
        <v>160272</v>
      </c>
      <c r="V117" s="14">
        <v>131334</v>
      </c>
      <c r="W117" s="14">
        <v>124656</v>
      </c>
      <c r="X117" s="14">
        <v>129108</v>
      </c>
      <c r="Y117" s="14">
        <v>111300</v>
      </c>
      <c r="Z117" s="14">
        <v>28938</v>
      </c>
      <c r="AA117" s="14">
        <v>17808</v>
      </c>
      <c r="AB117" s="13">
        <f t="shared" si="3"/>
        <v>970536</v>
      </c>
    </row>
    <row r="118" spans="1:28" x14ac:dyDescent="0.3">
      <c r="A118" s="11">
        <v>112</v>
      </c>
      <c r="B118" s="12" t="s">
        <v>300</v>
      </c>
      <c r="C118" s="14">
        <v>587</v>
      </c>
      <c r="D118" s="14">
        <v>531</v>
      </c>
      <c r="E118" s="14">
        <v>476</v>
      </c>
      <c r="F118" s="14">
        <v>468</v>
      </c>
      <c r="G118" s="14">
        <v>561</v>
      </c>
      <c r="H118" s="14">
        <v>545</v>
      </c>
      <c r="I118" s="14">
        <v>562</v>
      </c>
      <c r="J118" s="14">
        <v>724</v>
      </c>
      <c r="K118" s="14">
        <v>753</v>
      </c>
      <c r="L118" s="14">
        <v>633</v>
      </c>
      <c r="M118" s="14">
        <v>646</v>
      </c>
      <c r="N118" s="14">
        <v>569</v>
      </c>
      <c r="O118" s="13">
        <f t="shared" si="2"/>
        <v>7055</v>
      </c>
      <c r="P118" s="14">
        <v>1216264</v>
      </c>
      <c r="Q118" s="14">
        <v>1100232</v>
      </c>
      <c r="R118" s="14">
        <v>986272</v>
      </c>
      <c r="S118" s="14">
        <v>969696</v>
      </c>
      <c r="T118" s="14">
        <v>1162392</v>
      </c>
      <c r="U118" s="14">
        <v>1129240</v>
      </c>
      <c r="V118" s="14">
        <v>1164464</v>
      </c>
      <c r="W118" s="14">
        <v>1500128</v>
      </c>
      <c r="X118" s="14">
        <v>1560216</v>
      </c>
      <c r="Y118" s="14">
        <v>1311576</v>
      </c>
      <c r="Z118" s="14">
        <v>1338512</v>
      </c>
      <c r="AA118" s="14">
        <v>1178968</v>
      </c>
      <c r="AB118" s="13">
        <f t="shared" si="3"/>
        <v>14617960</v>
      </c>
    </row>
    <row r="119" spans="1:28" x14ac:dyDescent="0.3">
      <c r="A119" s="11">
        <v>113</v>
      </c>
      <c r="B119" s="12" t="s">
        <v>545</v>
      </c>
      <c r="C119" s="14">
        <v>3730</v>
      </c>
      <c r="D119" s="14">
        <v>2639</v>
      </c>
      <c r="E119" s="14">
        <v>2405</v>
      </c>
      <c r="F119" s="14">
        <v>1860</v>
      </c>
      <c r="G119" s="14">
        <v>1886</v>
      </c>
      <c r="H119" s="14">
        <v>2273</v>
      </c>
      <c r="I119" s="14">
        <v>2409</v>
      </c>
      <c r="J119" s="14">
        <v>2508</v>
      </c>
      <c r="K119" s="14">
        <v>2817</v>
      </c>
      <c r="L119" s="14">
        <v>2831</v>
      </c>
      <c r="M119" s="14">
        <v>2515</v>
      </c>
      <c r="N119" s="14">
        <v>2301</v>
      </c>
      <c r="O119" s="13">
        <f t="shared" si="2"/>
        <v>30174</v>
      </c>
      <c r="P119" s="14">
        <v>8302980</v>
      </c>
      <c r="Q119" s="14">
        <v>5874414</v>
      </c>
      <c r="R119" s="14">
        <v>5353530</v>
      </c>
      <c r="S119" s="14">
        <v>4140360</v>
      </c>
      <c r="T119" s="14">
        <v>4198236</v>
      </c>
      <c r="U119" s="14">
        <v>5059698</v>
      </c>
      <c r="V119" s="14">
        <v>5362434</v>
      </c>
      <c r="W119" s="14">
        <v>5582808</v>
      </c>
      <c r="X119" s="14">
        <v>6270642</v>
      </c>
      <c r="Y119" s="14">
        <v>6301806</v>
      </c>
      <c r="Z119" s="14">
        <v>5598390</v>
      </c>
      <c r="AA119" s="14">
        <v>5122026</v>
      </c>
      <c r="AB119" s="13">
        <f t="shared" si="3"/>
        <v>67167324</v>
      </c>
    </row>
    <row r="120" spans="1:28" x14ac:dyDescent="0.3">
      <c r="A120" s="11">
        <v>114</v>
      </c>
      <c r="B120" s="12" t="s">
        <v>413</v>
      </c>
      <c r="C120" s="14">
        <v>817</v>
      </c>
      <c r="D120" s="14">
        <v>729</v>
      </c>
      <c r="E120" s="14">
        <v>837</v>
      </c>
      <c r="F120" s="14">
        <v>714</v>
      </c>
      <c r="G120" s="14">
        <v>509</v>
      </c>
      <c r="H120" s="14">
        <v>798</v>
      </c>
      <c r="I120" s="14">
        <v>827</v>
      </c>
      <c r="J120" s="14">
        <v>695</v>
      </c>
      <c r="K120" s="14">
        <v>310</v>
      </c>
      <c r="L120" s="14">
        <v>256</v>
      </c>
      <c r="M120" s="14">
        <v>326</v>
      </c>
      <c r="N120" s="14">
        <v>941</v>
      </c>
      <c r="O120" s="13">
        <f t="shared" si="2"/>
        <v>7759</v>
      </c>
      <c r="P120" s="14">
        <v>1692824</v>
      </c>
      <c r="Q120" s="14">
        <v>1510488</v>
      </c>
      <c r="R120" s="14">
        <v>1734264</v>
      </c>
      <c r="S120" s="14">
        <v>1479408</v>
      </c>
      <c r="T120" s="14">
        <v>1054648</v>
      </c>
      <c r="U120" s="14">
        <v>1653456</v>
      </c>
      <c r="V120" s="14">
        <v>1713544</v>
      </c>
      <c r="W120" s="14">
        <v>1440040</v>
      </c>
      <c r="X120" s="14">
        <v>642320</v>
      </c>
      <c r="Y120" s="14">
        <v>530432</v>
      </c>
      <c r="Z120" s="14">
        <v>675472</v>
      </c>
      <c r="AA120" s="14">
        <v>1949752</v>
      </c>
      <c r="AB120" s="13">
        <f t="shared" si="3"/>
        <v>16076648</v>
      </c>
    </row>
    <row r="121" spans="1:28" x14ac:dyDescent="0.3">
      <c r="A121" s="11">
        <v>115</v>
      </c>
      <c r="B121" s="12" t="s">
        <v>293</v>
      </c>
      <c r="C121" s="14">
        <v>46918</v>
      </c>
      <c r="D121" s="14">
        <v>44278</v>
      </c>
      <c r="E121" s="14">
        <v>49108</v>
      </c>
      <c r="F121" s="14">
        <v>50203</v>
      </c>
      <c r="G121" s="14">
        <v>44803</v>
      </c>
      <c r="H121" s="14">
        <v>55835</v>
      </c>
      <c r="I121" s="14">
        <v>51826</v>
      </c>
      <c r="J121" s="14">
        <v>51965</v>
      </c>
      <c r="K121" s="14">
        <v>53489</v>
      </c>
      <c r="L121" s="14">
        <v>54837</v>
      </c>
      <c r="M121" s="14">
        <v>57249</v>
      </c>
      <c r="N121" s="14">
        <v>56848</v>
      </c>
      <c r="O121" s="13">
        <f t="shared" si="2"/>
        <v>617359</v>
      </c>
      <c r="P121" s="14">
        <v>104439468</v>
      </c>
      <c r="Q121" s="14">
        <v>98562828</v>
      </c>
      <c r="R121" s="14">
        <v>109314408</v>
      </c>
      <c r="S121" s="14">
        <v>111751878</v>
      </c>
      <c r="T121" s="14">
        <v>99731478</v>
      </c>
      <c r="U121" s="14">
        <v>124288710</v>
      </c>
      <c r="V121" s="14">
        <v>115364676</v>
      </c>
      <c r="W121" s="14">
        <v>115674090</v>
      </c>
      <c r="X121" s="14">
        <v>119066514</v>
      </c>
      <c r="Y121" s="14">
        <v>122067162</v>
      </c>
      <c r="Z121" s="14">
        <v>127436274</v>
      </c>
      <c r="AA121" s="14">
        <v>126543648</v>
      </c>
      <c r="AB121" s="13">
        <f t="shared" si="3"/>
        <v>1374241134</v>
      </c>
    </row>
    <row r="122" spans="1:28" x14ac:dyDescent="0.3">
      <c r="A122" s="11">
        <v>116</v>
      </c>
      <c r="B122" s="12" t="s">
        <v>291</v>
      </c>
      <c r="C122" s="14">
        <v>39584</v>
      </c>
      <c r="D122" s="14">
        <v>40504</v>
      </c>
      <c r="E122" s="14">
        <v>41586</v>
      </c>
      <c r="F122" s="14">
        <v>41196</v>
      </c>
      <c r="G122" s="14">
        <v>40643</v>
      </c>
      <c r="H122" s="14">
        <v>46434</v>
      </c>
      <c r="I122" s="14">
        <v>45582</v>
      </c>
      <c r="J122" s="14">
        <v>48529</v>
      </c>
      <c r="K122" s="14">
        <v>54663</v>
      </c>
      <c r="L122" s="14">
        <v>52434</v>
      </c>
      <c r="M122" s="14">
        <v>52679</v>
      </c>
      <c r="N122" s="14">
        <v>49245</v>
      </c>
      <c r="O122" s="13">
        <f t="shared" si="2"/>
        <v>553079</v>
      </c>
      <c r="P122" s="14">
        <v>88113984</v>
      </c>
      <c r="Q122" s="14">
        <v>90161904</v>
      </c>
      <c r="R122" s="14">
        <v>92570436</v>
      </c>
      <c r="S122" s="14">
        <v>91702296</v>
      </c>
      <c r="T122" s="14">
        <v>90471318</v>
      </c>
      <c r="U122" s="14">
        <v>103362084</v>
      </c>
      <c r="V122" s="14">
        <v>101465532</v>
      </c>
      <c r="W122" s="14">
        <v>108025554</v>
      </c>
      <c r="X122" s="14">
        <v>121679838</v>
      </c>
      <c r="Y122" s="14">
        <v>116718084</v>
      </c>
      <c r="Z122" s="14">
        <v>117263454</v>
      </c>
      <c r="AA122" s="14">
        <v>109619370</v>
      </c>
      <c r="AB122" s="13">
        <f t="shared" si="3"/>
        <v>1231153854</v>
      </c>
    </row>
    <row r="123" spans="1:28" x14ac:dyDescent="0.3">
      <c r="A123" s="11">
        <v>117</v>
      </c>
      <c r="B123" s="12" t="s">
        <v>292</v>
      </c>
      <c r="C123" s="14">
        <v>14382</v>
      </c>
      <c r="D123" s="14">
        <v>13718</v>
      </c>
      <c r="E123" s="14">
        <v>14459</v>
      </c>
      <c r="F123" s="14">
        <v>12987</v>
      </c>
      <c r="G123" s="14">
        <v>10158</v>
      </c>
      <c r="H123" s="14">
        <v>14223</v>
      </c>
      <c r="I123" s="14">
        <v>11926</v>
      </c>
      <c r="J123" s="14">
        <v>11436</v>
      </c>
      <c r="K123" s="14">
        <v>12073</v>
      </c>
      <c r="L123" s="14">
        <v>11635</v>
      </c>
      <c r="M123" s="14">
        <v>11333</v>
      </c>
      <c r="N123" s="14">
        <v>10535</v>
      </c>
      <c r="O123" s="13">
        <f t="shared" si="2"/>
        <v>148865</v>
      </c>
      <c r="P123" s="14">
        <v>32014332</v>
      </c>
      <c r="Q123" s="14">
        <v>30536268</v>
      </c>
      <c r="R123" s="14">
        <v>32185734</v>
      </c>
      <c r="S123" s="14">
        <v>28909062</v>
      </c>
      <c r="T123" s="14">
        <v>22611708</v>
      </c>
      <c r="U123" s="14">
        <v>31660398</v>
      </c>
      <c r="V123" s="14">
        <v>26547276</v>
      </c>
      <c r="W123" s="14">
        <v>25456536</v>
      </c>
      <c r="X123" s="14">
        <v>26874498</v>
      </c>
      <c r="Y123" s="14">
        <v>25899510</v>
      </c>
      <c r="Z123" s="14">
        <v>25227258</v>
      </c>
      <c r="AA123" s="14">
        <v>23450910</v>
      </c>
      <c r="AB123" s="13">
        <f t="shared" si="3"/>
        <v>331373490</v>
      </c>
    </row>
    <row r="124" spans="1:28" x14ac:dyDescent="0.3">
      <c r="A124" s="11">
        <v>118</v>
      </c>
      <c r="B124" s="12" t="s">
        <v>315</v>
      </c>
      <c r="C124" s="14">
        <v>45815</v>
      </c>
      <c r="D124" s="14">
        <v>42580</v>
      </c>
      <c r="E124" s="14">
        <v>44536</v>
      </c>
      <c r="F124" s="14">
        <v>45560</v>
      </c>
      <c r="G124" s="14">
        <v>36172</v>
      </c>
      <c r="H124" s="14">
        <v>45475</v>
      </c>
      <c r="I124" s="14">
        <v>47825</v>
      </c>
      <c r="J124" s="14">
        <v>52334</v>
      </c>
      <c r="K124" s="14">
        <v>49393</v>
      </c>
      <c r="L124" s="14">
        <v>49105</v>
      </c>
      <c r="M124" s="14">
        <v>49859</v>
      </c>
      <c r="N124" s="14">
        <v>47392</v>
      </c>
      <c r="O124" s="13">
        <f t="shared" si="2"/>
        <v>556046</v>
      </c>
      <c r="P124" s="14">
        <v>97952470</v>
      </c>
      <c r="Q124" s="14">
        <v>91036040</v>
      </c>
      <c r="R124" s="14">
        <v>95217968</v>
      </c>
      <c r="S124" s="14">
        <v>97407280</v>
      </c>
      <c r="T124" s="14">
        <v>77335736</v>
      </c>
      <c r="U124" s="14">
        <v>97225550</v>
      </c>
      <c r="V124" s="14">
        <v>102249850</v>
      </c>
      <c r="W124" s="14">
        <v>111890092</v>
      </c>
      <c r="X124" s="14">
        <v>105602234</v>
      </c>
      <c r="Y124" s="14">
        <v>104986490</v>
      </c>
      <c r="Z124" s="14">
        <v>106598542</v>
      </c>
      <c r="AA124" s="14">
        <v>101324096</v>
      </c>
      <c r="AB124" s="13">
        <f t="shared" si="3"/>
        <v>1188826348</v>
      </c>
    </row>
    <row r="125" spans="1:28" x14ac:dyDescent="0.3">
      <c r="A125" s="11">
        <v>119</v>
      </c>
      <c r="B125" s="12" t="s">
        <v>355</v>
      </c>
      <c r="C125" s="14">
        <v>67534</v>
      </c>
      <c r="D125" s="14">
        <v>75603</v>
      </c>
      <c r="E125" s="14">
        <v>73653</v>
      </c>
      <c r="F125" s="14">
        <v>94883</v>
      </c>
      <c r="G125" s="14">
        <v>70227</v>
      </c>
      <c r="H125" s="14">
        <v>91448</v>
      </c>
      <c r="I125" s="14">
        <v>97102</v>
      </c>
      <c r="J125" s="14">
        <v>80355</v>
      </c>
      <c r="K125" s="14">
        <v>80633</v>
      </c>
      <c r="L125" s="14">
        <v>71276</v>
      </c>
      <c r="M125" s="14">
        <v>80449</v>
      </c>
      <c r="N125" s="14">
        <v>74006</v>
      </c>
      <c r="O125" s="13">
        <f t="shared" si="2"/>
        <v>957169</v>
      </c>
      <c r="P125" s="14">
        <v>144387692</v>
      </c>
      <c r="Q125" s="14">
        <v>161639214</v>
      </c>
      <c r="R125" s="14">
        <v>157470114</v>
      </c>
      <c r="S125" s="14">
        <v>202859854</v>
      </c>
      <c r="T125" s="14">
        <v>150145326</v>
      </c>
      <c r="U125" s="14">
        <v>195515824</v>
      </c>
      <c r="V125" s="14">
        <v>207604076</v>
      </c>
      <c r="W125" s="14">
        <v>171798990</v>
      </c>
      <c r="X125" s="14">
        <v>172393354</v>
      </c>
      <c r="Y125" s="14">
        <v>152388088</v>
      </c>
      <c r="Z125" s="14">
        <v>171999962</v>
      </c>
      <c r="AA125" s="14">
        <v>158224828</v>
      </c>
      <c r="AB125" s="13">
        <f t="shared" si="3"/>
        <v>2046427322</v>
      </c>
    </row>
    <row r="126" spans="1:28" x14ac:dyDescent="0.3">
      <c r="A126" s="11">
        <v>120</v>
      </c>
      <c r="B126" s="12" t="s">
        <v>481</v>
      </c>
      <c r="C126" s="14">
        <v>401</v>
      </c>
      <c r="D126" s="14">
        <v>558</v>
      </c>
      <c r="E126" s="14">
        <v>381</v>
      </c>
      <c r="F126" s="14">
        <v>381</v>
      </c>
      <c r="G126" s="14">
        <v>357</v>
      </c>
      <c r="H126" s="14">
        <v>407</v>
      </c>
      <c r="I126" s="14">
        <v>379</v>
      </c>
      <c r="J126" s="14">
        <v>385</v>
      </c>
      <c r="K126" s="14">
        <v>375</v>
      </c>
      <c r="L126" s="14">
        <v>377</v>
      </c>
      <c r="M126" s="14">
        <v>366</v>
      </c>
      <c r="N126" s="14">
        <v>335</v>
      </c>
      <c r="O126" s="13">
        <f t="shared" si="2"/>
        <v>4702</v>
      </c>
      <c r="P126" s="14">
        <v>892626</v>
      </c>
      <c r="Q126" s="14">
        <v>1242108</v>
      </c>
      <c r="R126" s="14">
        <v>848106</v>
      </c>
      <c r="S126" s="14">
        <v>848106</v>
      </c>
      <c r="T126" s="14">
        <v>794682</v>
      </c>
      <c r="U126" s="14">
        <v>905982</v>
      </c>
      <c r="V126" s="14">
        <v>843654</v>
      </c>
      <c r="W126" s="14">
        <v>857010</v>
      </c>
      <c r="X126" s="14">
        <v>834750</v>
      </c>
      <c r="Y126" s="14">
        <v>839202</v>
      </c>
      <c r="Z126" s="14">
        <v>814716</v>
      </c>
      <c r="AA126" s="14">
        <v>745710</v>
      </c>
      <c r="AB126" s="13">
        <f t="shared" si="3"/>
        <v>10466652</v>
      </c>
    </row>
    <row r="127" spans="1:28" x14ac:dyDescent="0.3">
      <c r="A127" s="11">
        <v>121</v>
      </c>
      <c r="B127" s="12" t="s">
        <v>244</v>
      </c>
      <c r="C127" s="14">
        <v>23</v>
      </c>
      <c r="D127" s="14">
        <v>31</v>
      </c>
      <c r="E127" s="14">
        <v>17</v>
      </c>
      <c r="F127" s="14">
        <v>16</v>
      </c>
      <c r="G127" s="14">
        <v>23</v>
      </c>
      <c r="H127" s="14">
        <v>47</v>
      </c>
      <c r="I127" s="14">
        <v>18</v>
      </c>
      <c r="J127" s="14">
        <v>12</v>
      </c>
      <c r="K127" s="14">
        <v>16</v>
      </c>
      <c r="L127" s="14">
        <v>17</v>
      </c>
      <c r="M127" s="14">
        <v>33</v>
      </c>
      <c r="N127" s="14">
        <v>37</v>
      </c>
      <c r="O127" s="13">
        <f t="shared" si="2"/>
        <v>290</v>
      </c>
      <c r="P127" s="14">
        <v>51198</v>
      </c>
      <c r="Q127" s="14">
        <v>69006</v>
      </c>
      <c r="R127" s="14">
        <v>37842</v>
      </c>
      <c r="S127" s="14">
        <v>35616</v>
      </c>
      <c r="T127" s="14">
        <v>51198</v>
      </c>
      <c r="U127" s="14">
        <v>104622</v>
      </c>
      <c r="V127" s="14">
        <v>40068</v>
      </c>
      <c r="W127" s="14">
        <v>26712</v>
      </c>
      <c r="X127" s="14">
        <v>35616</v>
      </c>
      <c r="Y127" s="14">
        <v>37842</v>
      </c>
      <c r="Z127" s="14">
        <v>73458</v>
      </c>
      <c r="AA127" s="14">
        <v>82362</v>
      </c>
      <c r="AB127" s="13">
        <f t="shared" si="3"/>
        <v>645540</v>
      </c>
    </row>
    <row r="128" spans="1:28" x14ac:dyDescent="0.3">
      <c r="A128" s="11">
        <v>122</v>
      </c>
      <c r="B128" s="12" t="s">
        <v>482</v>
      </c>
      <c r="C128" s="14">
        <v>166</v>
      </c>
      <c r="D128" s="14">
        <v>228</v>
      </c>
      <c r="E128" s="14">
        <v>192</v>
      </c>
      <c r="F128" s="14">
        <v>153</v>
      </c>
      <c r="G128" s="14">
        <v>163</v>
      </c>
      <c r="H128" s="14">
        <v>198</v>
      </c>
      <c r="I128" s="14">
        <v>225</v>
      </c>
      <c r="J128" s="14">
        <v>195</v>
      </c>
      <c r="K128" s="14">
        <v>196</v>
      </c>
      <c r="L128" s="14">
        <v>203</v>
      </c>
      <c r="M128" s="14">
        <v>211</v>
      </c>
      <c r="N128" s="14">
        <v>185</v>
      </c>
      <c r="O128" s="13">
        <f t="shared" si="2"/>
        <v>2315</v>
      </c>
      <c r="P128" s="14">
        <v>369516</v>
      </c>
      <c r="Q128" s="14">
        <v>507528</v>
      </c>
      <c r="R128" s="14">
        <v>427392</v>
      </c>
      <c r="S128" s="14">
        <v>340578</v>
      </c>
      <c r="T128" s="14">
        <v>362838</v>
      </c>
      <c r="U128" s="14">
        <v>440748</v>
      </c>
      <c r="V128" s="14">
        <v>500850</v>
      </c>
      <c r="W128" s="14">
        <v>434070</v>
      </c>
      <c r="X128" s="14">
        <v>436296</v>
      </c>
      <c r="Y128" s="14">
        <v>451878</v>
      </c>
      <c r="Z128" s="14">
        <v>469686</v>
      </c>
      <c r="AA128" s="14">
        <v>411810</v>
      </c>
      <c r="AB128" s="13">
        <f t="shared" si="3"/>
        <v>5153190</v>
      </c>
    </row>
    <row r="129" spans="1:28" x14ac:dyDescent="0.3">
      <c r="A129" s="11">
        <v>123</v>
      </c>
      <c r="B129" s="12" t="s">
        <v>535</v>
      </c>
      <c r="C129" s="14">
        <v>268</v>
      </c>
      <c r="D129" s="14">
        <v>305</v>
      </c>
      <c r="E129" s="14">
        <v>391</v>
      </c>
      <c r="F129" s="14">
        <v>297</v>
      </c>
      <c r="G129" s="14">
        <v>129</v>
      </c>
      <c r="H129" s="14">
        <v>362</v>
      </c>
      <c r="I129" s="14">
        <v>576</v>
      </c>
      <c r="J129" s="14">
        <v>106</v>
      </c>
      <c r="K129" s="14">
        <v>317</v>
      </c>
      <c r="L129" s="14">
        <v>205</v>
      </c>
      <c r="M129" s="14">
        <v>118</v>
      </c>
      <c r="N129" s="14">
        <v>247</v>
      </c>
      <c r="O129" s="13">
        <f t="shared" si="2"/>
        <v>3321</v>
      </c>
      <c r="P129" s="14">
        <v>596568</v>
      </c>
      <c r="Q129" s="14">
        <v>678930</v>
      </c>
      <c r="R129" s="14">
        <v>870366</v>
      </c>
      <c r="S129" s="14">
        <v>661122</v>
      </c>
      <c r="T129" s="14">
        <v>287154</v>
      </c>
      <c r="U129" s="14">
        <v>805812</v>
      </c>
      <c r="V129" s="14">
        <v>1282176</v>
      </c>
      <c r="W129" s="14">
        <v>235956</v>
      </c>
      <c r="X129" s="14">
        <v>705642</v>
      </c>
      <c r="Y129" s="14">
        <v>456330</v>
      </c>
      <c r="Z129" s="14">
        <v>262668</v>
      </c>
      <c r="AA129" s="14">
        <v>549822</v>
      </c>
      <c r="AB129" s="13">
        <f t="shared" si="3"/>
        <v>7392546</v>
      </c>
    </row>
    <row r="130" spans="1:28" x14ac:dyDescent="0.3">
      <c r="A130" s="11">
        <v>124</v>
      </c>
      <c r="B130" s="12" t="s">
        <v>536</v>
      </c>
      <c r="C130" s="14">
        <v>36</v>
      </c>
      <c r="D130" s="14">
        <v>43</v>
      </c>
      <c r="E130" s="14">
        <v>19</v>
      </c>
      <c r="F130" s="14">
        <v>34</v>
      </c>
      <c r="G130" s="14">
        <v>92</v>
      </c>
      <c r="H130" s="14">
        <v>150</v>
      </c>
      <c r="I130" s="14">
        <v>40</v>
      </c>
      <c r="J130" s="14">
        <v>33</v>
      </c>
      <c r="K130" s="14">
        <v>24</v>
      </c>
      <c r="L130" s="14"/>
      <c r="M130" s="14">
        <v>27</v>
      </c>
      <c r="N130" s="14">
        <v>18</v>
      </c>
      <c r="O130" s="13">
        <f t="shared" si="2"/>
        <v>516</v>
      </c>
      <c r="P130" s="14">
        <v>80136</v>
      </c>
      <c r="Q130" s="14">
        <v>95718</v>
      </c>
      <c r="R130" s="14">
        <v>42294</v>
      </c>
      <c r="S130" s="14">
        <v>75684</v>
      </c>
      <c r="T130" s="14">
        <v>204792</v>
      </c>
      <c r="U130" s="14">
        <v>333900</v>
      </c>
      <c r="V130" s="14">
        <v>89040</v>
      </c>
      <c r="W130" s="14">
        <v>73458</v>
      </c>
      <c r="X130" s="14">
        <v>53424</v>
      </c>
      <c r="Y130" s="14"/>
      <c r="Z130" s="14">
        <v>60102</v>
      </c>
      <c r="AA130" s="14">
        <v>40068</v>
      </c>
      <c r="AB130" s="13">
        <f t="shared" si="3"/>
        <v>1148616</v>
      </c>
    </row>
    <row r="131" spans="1:28" x14ac:dyDescent="0.3">
      <c r="A131" s="11">
        <v>125</v>
      </c>
      <c r="B131" s="12" t="s">
        <v>424</v>
      </c>
      <c r="C131" s="14">
        <v>236</v>
      </c>
      <c r="D131" s="14">
        <v>223</v>
      </c>
      <c r="E131" s="14">
        <v>239</v>
      </c>
      <c r="F131" s="14">
        <v>196</v>
      </c>
      <c r="G131" s="14">
        <v>126</v>
      </c>
      <c r="H131" s="14">
        <v>245</v>
      </c>
      <c r="I131" s="14">
        <v>247</v>
      </c>
      <c r="J131" s="14">
        <v>211</v>
      </c>
      <c r="K131" s="14">
        <v>214</v>
      </c>
      <c r="L131" s="14">
        <v>176</v>
      </c>
      <c r="M131" s="14">
        <v>160</v>
      </c>
      <c r="N131" s="14">
        <v>307</v>
      </c>
      <c r="O131" s="13">
        <f t="shared" si="2"/>
        <v>2580</v>
      </c>
      <c r="P131" s="14">
        <v>488992</v>
      </c>
      <c r="Q131" s="14">
        <v>462056</v>
      </c>
      <c r="R131" s="14">
        <v>495208</v>
      </c>
      <c r="S131" s="14">
        <v>406112</v>
      </c>
      <c r="T131" s="14">
        <v>261072</v>
      </c>
      <c r="U131" s="14">
        <v>507640</v>
      </c>
      <c r="V131" s="14">
        <v>511784</v>
      </c>
      <c r="W131" s="14">
        <v>437192</v>
      </c>
      <c r="X131" s="14">
        <v>443408</v>
      </c>
      <c r="Y131" s="14">
        <v>364672</v>
      </c>
      <c r="Z131" s="14">
        <v>331520</v>
      </c>
      <c r="AA131" s="14">
        <v>636104</v>
      </c>
      <c r="AB131" s="13">
        <f t="shared" si="3"/>
        <v>5345760</v>
      </c>
    </row>
    <row r="132" spans="1:28" x14ac:dyDescent="0.3">
      <c r="A132" s="11">
        <v>126</v>
      </c>
      <c r="B132" s="12" t="s">
        <v>433</v>
      </c>
      <c r="C132" s="14">
        <v>8966</v>
      </c>
      <c r="D132" s="14">
        <v>8851</v>
      </c>
      <c r="E132" s="14">
        <v>9134</v>
      </c>
      <c r="F132" s="14">
        <v>8094</v>
      </c>
      <c r="G132" s="14">
        <v>5093</v>
      </c>
      <c r="H132" s="14">
        <v>7420</v>
      </c>
      <c r="I132" s="14">
        <v>7373</v>
      </c>
      <c r="J132" s="14">
        <v>6476</v>
      </c>
      <c r="K132" s="14">
        <v>4311</v>
      </c>
      <c r="L132" s="14">
        <v>4525</v>
      </c>
      <c r="M132" s="14">
        <v>7167</v>
      </c>
      <c r="N132" s="14">
        <v>5147</v>
      </c>
      <c r="O132" s="13">
        <f t="shared" si="2"/>
        <v>82557</v>
      </c>
      <c r="P132" s="14">
        <v>18577552</v>
      </c>
      <c r="Q132" s="14">
        <v>18339272</v>
      </c>
      <c r="R132" s="14">
        <v>18925648</v>
      </c>
      <c r="S132" s="14">
        <v>16770768</v>
      </c>
      <c r="T132" s="14">
        <v>10552696</v>
      </c>
      <c r="U132" s="14">
        <v>15374240</v>
      </c>
      <c r="V132" s="14">
        <v>15276856</v>
      </c>
      <c r="W132" s="14">
        <v>13418272</v>
      </c>
      <c r="X132" s="14">
        <v>8932392</v>
      </c>
      <c r="Y132" s="14">
        <v>9375800</v>
      </c>
      <c r="Z132" s="14">
        <v>14850024</v>
      </c>
      <c r="AA132" s="14">
        <v>10664584</v>
      </c>
      <c r="AB132" s="13">
        <f t="shared" si="3"/>
        <v>171058104</v>
      </c>
    </row>
    <row r="133" spans="1:28" x14ac:dyDescent="0.3">
      <c r="A133" s="11">
        <v>127</v>
      </c>
      <c r="B133" s="12" t="s">
        <v>428</v>
      </c>
      <c r="C133" s="14">
        <v>3058</v>
      </c>
      <c r="D133" s="14">
        <v>3636</v>
      </c>
      <c r="E133" s="14">
        <v>3303</v>
      </c>
      <c r="F133" s="14">
        <v>2805</v>
      </c>
      <c r="G133" s="14">
        <v>1980</v>
      </c>
      <c r="H133" s="14">
        <v>3211</v>
      </c>
      <c r="I133" s="14">
        <v>3410</v>
      </c>
      <c r="J133" s="14">
        <v>2680</v>
      </c>
      <c r="K133" s="14">
        <v>1403</v>
      </c>
      <c r="L133" s="14">
        <v>1449</v>
      </c>
      <c r="M133" s="14">
        <v>1445</v>
      </c>
      <c r="N133" s="14">
        <v>3641</v>
      </c>
      <c r="O133" s="13">
        <f t="shared" si="2"/>
        <v>32021</v>
      </c>
      <c r="P133" s="14">
        <v>6336176</v>
      </c>
      <c r="Q133" s="14">
        <v>7533792</v>
      </c>
      <c r="R133" s="14">
        <v>6843816</v>
      </c>
      <c r="S133" s="14">
        <v>5811960</v>
      </c>
      <c r="T133" s="14">
        <v>4102560</v>
      </c>
      <c r="U133" s="14">
        <v>6653192</v>
      </c>
      <c r="V133" s="14">
        <v>7065520</v>
      </c>
      <c r="W133" s="14">
        <v>5552960</v>
      </c>
      <c r="X133" s="14">
        <v>2907016</v>
      </c>
      <c r="Y133" s="14">
        <v>3002328</v>
      </c>
      <c r="Z133" s="14">
        <v>2994040</v>
      </c>
      <c r="AA133" s="14">
        <v>7544152</v>
      </c>
      <c r="AB133" s="13">
        <f t="shared" si="3"/>
        <v>66347512</v>
      </c>
    </row>
    <row r="134" spans="1:28" x14ac:dyDescent="0.3">
      <c r="A134" s="11">
        <v>128</v>
      </c>
      <c r="B134" s="12" t="s">
        <v>506</v>
      </c>
      <c r="C134" s="14">
        <v>20</v>
      </c>
      <c r="D134" s="14">
        <v>17</v>
      </c>
      <c r="E134" s="14">
        <v>7</v>
      </c>
      <c r="F134" s="14">
        <v>13</v>
      </c>
      <c r="G134" s="14">
        <v>16</v>
      </c>
      <c r="H134" s="14">
        <v>21</v>
      </c>
      <c r="I134" s="14">
        <v>17</v>
      </c>
      <c r="J134" s="14">
        <v>14</v>
      </c>
      <c r="K134" s="14">
        <v>15</v>
      </c>
      <c r="L134" s="14">
        <v>31</v>
      </c>
      <c r="M134" s="14">
        <v>40</v>
      </c>
      <c r="N134" s="14">
        <v>31</v>
      </c>
      <c r="O134" s="13">
        <f t="shared" si="2"/>
        <v>242</v>
      </c>
      <c r="P134" s="14">
        <v>44520</v>
      </c>
      <c r="Q134" s="14">
        <v>37842</v>
      </c>
      <c r="R134" s="14">
        <v>15582</v>
      </c>
      <c r="S134" s="14">
        <v>28938</v>
      </c>
      <c r="T134" s="14">
        <v>35616</v>
      </c>
      <c r="U134" s="14">
        <v>46746</v>
      </c>
      <c r="V134" s="14">
        <v>37842</v>
      </c>
      <c r="W134" s="14">
        <v>31164</v>
      </c>
      <c r="X134" s="14">
        <v>33390</v>
      </c>
      <c r="Y134" s="14">
        <v>69006</v>
      </c>
      <c r="Z134" s="14">
        <v>89040</v>
      </c>
      <c r="AA134" s="14">
        <v>69006</v>
      </c>
      <c r="AB134" s="13">
        <f t="shared" si="3"/>
        <v>538692</v>
      </c>
    </row>
    <row r="135" spans="1:28" x14ac:dyDescent="0.3">
      <c r="A135" s="11">
        <v>129</v>
      </c>
      <c r="B135" s="12" t="s">
        <v>332</v>
      </c>
      <c r="C135" s="14">
        <v>164</v>
      </c>
      <c r="D135" s="14">
        <v>201</v>
      </c>
      <c r="E135" s="14">
        <v>146</v>
      </c>
      <c r="F135" s="14">
        <v>246</v>
      </c>
      <c r="G135" s="14">
        <v>180</v>
      </c>
      <c r="H135" s="14">
        <v>102</v>
      </c>
      <c r="I135" s="14">
        <v>97</v>
      </c>
      <c r="J135" s="14">
        <v>132</v>
      </c>
      <c r="K135" s="14">
        <v>262</v>
      </c>
      <c r="L135" s="14">
        <v>216</v>
      </c>
      <c r="M135" s="14">
        <v>261</v>
      </c>
      <c r="N135" s="14">
        <v>212</v>
      </c>
      <c r="O135" s="13">
        <f t="shared" ref="O135:O198" si="4">IF(B135="","",SUM(C135:N135))</f>
        <v>2219</v>
      </c>
      <c r="P135" s="14">
        <v>365064</v>
      </c>
      <c r="Q135" s="14">
        <v>447426</v>
      </c>
      <c r="R135" s="14">
        <v>324996</v>
      </c>
      <c r="S135" s="14">
        <v>547596</v>
      </c>
      <c r="T135" s="14">
        <v>400680</v>
      </c>
      <c r="U135" s="14">
        <v>227052</v>
      </c>
      <c r="V135" s="14">
        <v>215922</v>
      </c>
      <c r="W135" s="14">
        <v>293832</v>
      </c>
      <c r="X135" s="14">
        <v>583212</v>
      </c>
      <c r="Y135" s="14">
        <v>480816</v>
      </c>
      <c r="Z135" s="14">
        <v>580986</v>
      </c>
      <c r="AA135" s="14">
        <v>471912</v>
      </c>
      <c r="AB135" s="13">
        <f t="shared" ref="AB135:AB198" si="5">IF(B135="","",SUM(P135:AA135))</f>
        <v>4939494</v>
      </c>
    </row>
    <row r="136" spans="1:28" x14ac:dyDescent="0.3">
      <c r="A136" s="11">
        <v>130</v>
      </c>
      <c r="B136" s="12" t="s">
        <v>442</v>
      </c>
      <c r="C136" s="14">
        <v>2243</v>
      </c>
      <c r="D136" s="14">
        <v>1909</v>
      </c>
      <c r="E136" s="14">
        <v>1836</v>
      </c>
      <c r="F136" s="14">
        <v>1768</v>
      </c>
      <c r="G136" s="14">
        <v>1299</v>
      </c>
      <c r="H136" s="14">
        <v>2048</v>
      </c>
      <c r="I136" s="14">
        <v>1977</v>
      </c>
      <c r="J136" s="14">
        <v>1381</v>
      </c>
      <c r="K136" s="14">
        <v>630</v>
      </c>
      <c r="L136" s="14">
        <v>565</v>
      </c>
      <c r="M136" s="14">
        <v>720</v>
      </c>
      <c r="N136" s="14">
        <v>1704</v>
      </c>
      <c r="O136" s="13">
        <f t="shared" si="4"/>
        <v>18080</v>
      </c>
      <c r="P136" s="14">
        <v>4647496</v>
      </c>
      <c r="Q136" s="14">
        <v>3955448</v>
      </c>
      <c r="R136" s="14">
        <v>3804192</v>
      </c>
      <c r="S136" s="14">
        <v>3663296</v>
      </c>
      <c r="T136" s="14">
        <v>2691528</v>
      </c>
      <c r="U136" s="14">
        <v>4243456</v>
      </c>
      <c r="V136" s="14">
        <v>4096344</v>
      </c>
      <c r="W136" s="14">
        <v>2861432</v>
      </c>
      <c r="X136" s="14">
        <v>1305360</v>
      </c>
      <c r="Y136" s="14">
        <v>1170680</v>
      </c>
      <c r="Z136" s="14">
        <v>1491840</v>
      </c>
      <c r="AA136" s="14">
        <v>3530688</v>
      </c>
      <c r="AB136" s="13">
        <f t="shared" si="5"/>
        <v>37461760</v>
      </c>
    </row>
    <row r="137" spans="1:28" x14ac:dyDescent="0.3">
      <c r="A137" s="11">
        <v>131</v>
      </c>
      <c r="B137" s="12" t="s">
        <v>477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3">
        <f t="shared" si="4"/>
        <v>0</v>
      </c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3">
        <f t="shared" si="5"/>
        <v>0</v>
      </c>
    </row>
    <row r="138" spans="1:28" x14ac:dyDescent="0.3">
      <c r="A138" s="11">
        <v>132</v>
      </c>
      <c r="B138" s="12" t="s">
        <v>537</v>
      </c>
      <c r="C138" s="14">
        <v>37</v>
      </c>
      <c r="D138" s="14">
        <v>22</v>
      </c>
      <c r="E138" s="14">
        <v>18</v>
      </c>
      <c r="F138" s="14">
        <v>15</v>
      </c>
      <c r="G138" s="14">
        <v>22</v>
      </c>
      <c r="H138" s="14">
        <v>49</v>
      </c>
      <c r="I138" s="14">
        <v>21</v>
      </c>
      <c r="J138" s="14">
        <v>13</v>
      </c>
      <c r="K138" s="14">
        <v>21</v>
      </c>
      <c r="L138" s="14">
        <v>59</v>
      </c>
      <c r="M138" s="14">
        <v>26</v>
      </c>
      <c r="N138" s="14">
        <v>43</v>
      </c>
      <c r="O138" s="13">
        <f t="shared" si="4"/>
        <v>346</v>
      </c>
      <c r="P138" s="14">
        <v>82362</v>
      </c>
      <c r="Q138" s="14">
        <v>48972</v>
      </c>
      <c r="R138" s="14">
        <v>40068</v>
      </c>
      <c r="S138" s="14">
        <v>33390</v>
      </c>
      <c r="T138" s="14">
        <v>48972</v>
      </c>
      <c r="U138" s="14">
        <v>109074</v>
      </c>
      <c r="V138" s="14">
        <v>46746</v>
      </c>
      <c r="W138" s="14">
        <v>28938</v>
      </c>
      <c r="X138" s="14">
        <v>46746</v>
      </c>
      <c r="Y138" s="14">
        <v>131334</v>
      </c>
      <c r="Z138" s="14">
        <v>57876</v>
      </c>
      <c r="AA138" s="14">
        <v>95718</v>
      </c>
      <c r="AB138" s="13">
        <f t="shared" si="5"/>
        <v>770196</v>
      </c>
    </row>
    <row r="139" spans="1:28" x14ac:dyDescent="0.3">
      <c r="A139" s="11">
        <v>133</v>
      </c>
      <c r="B139" s="12" t="s">
        <v>257</v>
      </c>
      <c r="C139" s="14">
        <v>19</v>
      </c>
      <c r="D139" s="14">
        <v>19</v>
      </c>
      <c r="E139" s="14">
        <v>8</v>
      </c>
      <c r="F139" s="14">
        <v>8</v>
      </c>
      <c r="G139" s="14">
        <v>9</v>
      </c>
      <c r="H139" s="14">
        <v>54</v>
      </c>
      <c r="I139" s="14">
        <v>6</v>
      </c>
      <c r="J139" s="14">
        <v>10</v>
      </c>
      <c r="K139" s="14">
        <v>12</v>
      </c>
      <c r="L139" s="14"/>
      <c r="M139" s="14">
        <v>9</v>
      </c>
      <c r="N139" s="14"/>
      <c r="O139" s="13">
        <f t="shared" si="4"/>
        <v>154</v>
      </c>
      <c r="P139" s="14">
        <v>42294</v>
      </c>
      <c r="Q139" s="14">
        <v>42294</v>
      </c>
      <c r="R139" s="14">
        <v>17808</v>
      </c>
      <c r="S139" s="14">
        <v>17808</v>
      </c>
      <c r="T139" s="14">
        <v>20034</v>
      </c>
      <c r="U139" s="14">
        <v>120204</v>
      </c>
      <c r="V139" s="14">
        <v>13356</v>
      </c>
      <c r="W139" s="14">
        <v>22260</v>
      </c>
      <c r="X139" s="14">
        <v>26712</v>
      </c>
      <c r="Y139" s="14"/>
      <c r="Z139" s="14">
        <v>20034</v>
      </c>
      <c r="AA139" s="14"/>
      <c r="AB139" s="13">
        <f t="shared" si="5"/>
        <v>342804</v>
      </c>
    </row>
    <row r="140" spans="1:28" x14ac:dyDescent="0.3">
      <c r="A140" s="11">
        <v>134</v>
      </c>
      <c r="B140" s="12" t="s">
        <v>529</v>
      </c>
      <c r="C140" s="14">
        <v>17</v>
      </c>
      <c r="D140" s="14">
        <v>15</v>
      </c>
      <c r="E140" s="14">
        <v>15</v>
      </c>
      <c r="F140" s="14">
        <v>19</v>
      </c>
      <c r="G140" s="14">
        <v>28</v>
      </c>
      <c r="H140" s="14">
        <v>39</v>
      </c>
      <c r="I140" s="14">
        <v>31</v>
      </c>
      <c r="J140" s="14">
        <v>34</v>
      </c>
      <c r="K140" s="14">
        <v>32</v>
      </c>
      <c r="L140" s="14">
        <v>39</v>
      </c>
      <c r="M140" s="14">
        <v>40</v>
      </c>
      <c r="N140" s="14">
        <v>32</v>
      </c>
      <c r="O140" s="13">
        <f t="shared" si="4"/>
        <v>341</v>
      </c>
      <c r="P140" s="14">
        <v>37842</v>
      </c>
      <c r="Q140" s="14">
        <v>33390</v>
      </c>
      <c r="R140" s="14">
        <v>33390</v>
      </c>
      <c r="S140" s="14">
        <v>42294</v>
      </c>
      <c r="T140" s="14">
        <v>62328</v>
      </c>
      <c r="U140" s="14">
        <v>86814</v>
      </c>
      <c r="V140" s="14">
        <v>69006</v>
      </c>
      <c r="W140" s="14">
        <v>75684</v>
      </c>
      <c r="X140" s="14">
        <v>71232</v>
      </c>
      <c r="Y140" s="14">
        <v>86814</v>
      </c>
      <c r="Z140" s="14">
        <v>89040</v>
      </c>
      <c r="AA140" s="14">
        <v>71232</v>
      </c>
      <c r="AB140" s="13">
        <f t="shared" si="5"/>
        <v>759066</v>
      </c>
    </row>
    <row r="141" spans="1:28" x14ac:dyDescent="0.3">
      <c r="A141" s="11">
        <v>135</v>
      </c>
      <c r="B141" s="12" t="s">
        <v>531</v>
      </c>
      <c r="C141" s="14">
        <v>19</v>
      </c>
      <c r="D141" s="14">
        <v>28</v>
      </c>
      <c r="E141" s="14">
        <v>20</v>
      </c>
      <c r="F141" s="14">
        <v>20</v>
      </c>
      <c r="G141" s="14">
        <v>31</v>
      </c>
      <c r="H141" s="14">
        <v>65</v>
      </c>
      <c r="I141" s="14">
        <v>22</v>
      </c>
      <c r="J141" s="14">
        <v>22</v>
      </c>
      <c r="K141" s="14">
        <v>19</v>
      </c>
      <c r="L141" s="14">
        <v>23</v>
      </c>
      <c r="M141" s="14">
        <v>22</v>
      </c>
      <c r="N141" s="14">
        <v>12</v>
      </c>
      <c r="O141" s="13">
        <f t="shared" si="4"/>
        <v>303</v>
      </c>
      <c r="P141" s="14">
        <v>42294</v>
      </c>
      <c r="Q141" s="14">
        <v>62328</v>
      </c>
      <c r="R141" s="14">
        <v>44520</v>
      </c>
      <c r="S141" s="14">
        <v>44520</v>
      </c>
      <c r="T141" s="14">
        <v>69006</v>
      </c>
      <c r="U141" s="14">
        <v>144690</v>
      </c>
      <c r="V141" s="14">
        <v>48972</v>
      </c>
      <c r="W141" s="14">
        <v>48972</v>
      </c>
      <c r="X141" s="14">
        <v>42294</v>
      </c>
      <c r="Y141" s="14">
        <v>51198</v>
      </c>
      <c r="Z141" s="14">
        <v>48972</v>
      </c>
      <c r="AA141" s="14">
        <v>26712</v>
      </c>
      <c r="AB141" s="13">
        <f t="shared" si="5"/>
        <v>674478</v>
      </c>
    </row>
    <row r="142" spans="1:28" x14ac:dyDescent="0.3">
      <c r="A142" s="11">
        <v>136</v>
      </c>
      <c r="B142" s="12" t="s">
        <v>371</v>
      </c>
      <c r="C142" s="14">
        <v>389</v>
      </c>
      <c r="D142" s="14">
        <v>556</v>
      </c>
      <c r="E142" s="14">
        <v>416</v>
      </c>
      <c r="F142" s="14">
        <v>368</v>
      </c>
      <c r="G142" s="14">
        <v>240</v>
      </c>
      <c r="H142" s="14">
        <v>463</v>
      </c>
      <c r="I142" s="14">
        <v>433</v>
      </c>
      <c r="J142" s="14">
        <v>370</v>
      </c>
      <c r="K142" s="14">
        <v>18</v>
      </c>
      <c r="L142" s="14">
        <v>16</v>
      </c>
      <c r="M142" s="14">
        <v>205</v>
      </c>
      <c r="N142" s="14">
        <v>460</v>
      </c>
      <c r="O142" s="13">
        <f t="shared" si="4"/>
        <v>3934</v>
      </c>
      <c r="P142" s="14">
        <v>806008</v>
      </c>
      <c r="Q142" s="14">
        <v>1152032</v>
      </c>
      <c r="R142" s="14">
        <v>861952</v>
      </c>
      <c r="S142" s="14">
        <v>762496</v>
      </c>
      <c r="T142" s="14">
        <v>497280</v>
      </c>
      <c r="U142" s="14">
        <v>959336</v>
      </c>
      <c r="V142" s="14">
        <v>897176</v>
      </c>
      <c r="W142" s="14">
        <v>766640</v>
      </c>
      <c r="X142" s="14">
        <v>37296</v>
      </c>
      <c r="Y142" s="14">
        <v>33152</v>
      </c>
      <c r="Z142" s="14">
        <v>424760</v>
      </c>
      <c r="AA142" s="14">
        <v>953120</v>
      </c>
      <c r="AB142" s="13">
        <f t="shared" si="5"/>
        <v>8151248</v>
      </c>
    </row>
    <row r="143" spans="1:28" x14ac:dyDescent="0.3">
      <c r="A143" s="11">
        <v>137</v>
      </c>
      <c r="B143" s="12" t="s">
        <v>498</v>
      </c>
      <c r="C143" s="14">
        <v>123</v>
      </c>
      <c r="D143" s="14">
        <v>155</v>
      </c>
      <c r="E143" s="14">
        <v>122</v>
      </c>
      <c r="F143" s="14">
        <v>108</v>
      </c>
      <c r="G143" s="14">
        <v>102</v>
      </c>
      <c r="H143" s="14">
        <v>125</v>
      </c>
      <c r="I143" s="14">
        <v>124</v>
      </c>
      <c r="J143" s="14">
        <v>139</v>
      </c>
      <c r="K143" s="14">
        <v>183</v>
      </c>
      <c r="L143" s="14">
        <v>148</v>
      </c>
      <c r="M143" s="14">
        <v>149</v>
      </c>
      <c r="N143" s="14">
        <v>155</v>
      </c>
      <c r="O143" s="13">
        <f t="shared" si="4"/>
        <v>1633</v>
      </c>
      <c r="P143" s="14">
        <v>273798</v>
      </c>
      <c r="Q143" s="14">
        <v>345030</v>
      </c>
      <c r="R143" s="14">
        <v>271572</v>
      </c>
      <c r="S143" s="14">
        <v>240408</v>
      </c>
      <c r="T143" s="14">
        <v>227052</v>
      </c>
      <c r="U143" s="14">
        <v>278250</v>
      </c>
      <c r="V143" s="14">
        <v>276024</v>
      </c>
      <c r="W143" s="14">
        <v>309414</v>
      </c>
      <c r="X143" s="14">
        <v>407358</v>
      </c>
      <c r="Y143" s="14">
        <v>329448</v>
      </c>
      <c r="Z143" s="14">
        <v>331674</v>
      </c>
      <c r="AA143" s="14">
        <v>345030</v>
      </c>
      <c r="AB143" s="13">
        <f t="shared" si="5"/>
        <v>3635058</v>
      </c>
    </row>
    <row r="144" spans="1:28" x14ac:dyDescent="0.3">
      <c r="A144" s="11">
        <v>138</v>
      </c>
      <c r="B144" s="12" t="s">
        <v>551</v>
      </c>
      <c r="C144" s="14">
        <v>76</v>
      </c>
      <c r="D144" s="14">
        <v>157</v>
      </c>
      <c r="E144" s="14">
        <v>528</v>
      </c>
      <c r="F144" s="14">
        <v>351</v>
      </c>
      <c r="G144" s="14">
        <v>546</v>
      </c>
      <c r="H144" s="14">
        <v>411</v>
      </c>
      <c r="I144" s="14">
        <v>467</v>
      </c>
      <c r="J144" s="14">
        <v>736</v>
      </c>
      <c r="K144" s="14">
        <v>569</v>
      </c>
      <c r="L144" s="14">
        <v>575</v>
      </c>
      <c r="M144" s="14">
        <v>470</v>
      </c>
      <c r="N144" s="14">
        <v>646</v>
      </c>
      <c r="O144" s="13">
        <f t="shared" si="4"/>
        <v>5532</v>
      </c>
      <c r="P144" s="14">
        <v>169176</v>
      </c>
      <c r="Q144" s="14">
        <v>349482</v>
      </c>
      <c r="R144" s="14">
        <v>1175328</v>
      </c>
      <c r="S144" s="14">
        <v>781326</v>
      </c>
      <c r="T144" s="14">
        <v>1215396</v>
      </c>
      <c r="U144" s="14">
        <v>914886</v>
      </c>
      <c r="V144" s="14">
        <v>1039542</v>
      </c>
      <c r="W144" s="14">
        <v>1638336</v>
      </c>
      <c r="X144" s="14">
        <v>1266594</v>
      </c>
      <c r="Y144" s="14">
        <v>1279950</v>
      </c>
      <c r="Z144" s="14">
        <v>1046220</v>
      </c>
      <c r="AA144" s="14">
        <v>1437996</v>
      </c>
      <c r="AB144" s="13">
        <f t="shared" si="5"/>
        <v>12314232</v>
      </c>
    </row>
    <row r="145" spans="1:28" x14ac:dyDescent="0.3">
      <c r="A145" s="11">
        <v>139</v>
      </c>
      <c r="B145" s="12" t="s">
        <v>258</v>
      </c>
      <c r="C145" s="14">
        <v>14</v>
      </c>
      <c r="D145" s="14">
        <v>21</v>
      </c>
      <c r="E145" s="14">
        <v>15</v>
      </c>
      <c r="F145" s="14">
        <v>15</v>
      </c>
      <c r="G145" s="14">
        <v>14</v>
      </c>
      <c r="H145" s="14">
        <v>34</v>
      </c>
      <c r="I145" s="14">
        <v>12</v>
      </c>
      <c r="J145" s="14">
        <v>13</v>
      </c>
      <c r="K145" s="14">
        <v>13</v>
      </c>
      <c r="L145" s="14">
        <v>13</v>
      </c>
      <c r="M145" s="14">
        <v>11</v>
      </c>
      <c r="N145" s="14">
        <v>6</v>
      </c>
      <c r="O145" s="13">
        <f t="shared" si="4"/>
        <v>181</v>
      </c>
      <c r="P145" s="14">
        <v>31164</v>
      </c>
      <c r="Q145" s="14">
        <v>46746</v>
      </c>
      <c r="R145" s="14">
        <v>33390</v>
      </c>
      <c r="S145" s="14">
        <v>33390</v>
      </c>
      <c r="T145" s="14">
        <v>31164</v>
      </c>
      <c r="U145" s="14">
        <v>75684</v>
      </c>
      <c r="V145" s="14">
        <v>26712</v>
      </c>
      <c r="W145" s="14">
        <v>28938</v>
      </c>
      <c r="X145" s="14">
        <v>28938</v>
      </c>
      <c r="Y145" s="14">
        <v>28938</v>
      </c>
      <c r="Z145" s="14">
        <v>24486</v>
      </c>
      <c r="AA145" s="14">
        <v>13356</v>
      </c>
      <c r="AB145" s="13">
        <f t="shared" si="5"/>
        <v>402906</v>
      </c>
    </row>
    <row r="146" spans="1:28" x14ac:dyDescent="0.3">
      <c r="A146" s="11">
        <v>140</v>
      </c>
      <c r="B146" s="12" t="s">
        <v>312</v>
      </c>
      <c r="C146" s="14">
        <v>2350</v>
      </c>
      <c r="D146" s="14">
        <v>1341</v>
      </c>
      <c r="E146" s="14">
        <v>1909</v>
      </c>
      <c r="F146" s="14">
        <v>2022</v>
      </c>
      <c r="G146" s="14">
        <v>1698</v>
      </c>
      <c r="H146" s="14">
        <v>1898</v>
      </c>
      <c r="I146" s="14">
        <v>1857</v>
      </c>
      <c r="J146" s="14">
        <v>2023</v>
      </c>
      <c r="K146" s="14">
        <v>1871</v>
      </c>
      <c r="L146" s="14">
        <v>1668</v>
      </c>
      <c r="M146" s="14">
        <v>1763</v>
      </c>
      <c r="N146" s="14">
        <v>1619</v>
      </c>
      <c r="O146" s="13">
        <f t="shared" si="4"/>
        <v>22019</v>
      </c>
      <c r="P146" s="14">
        <v>5231100</v>
      </c>
      <c r="Q146" s="14">
        <v>2985066</v>
      </c>
      <c r="R146" s="14">
        <v>4249434</v>
      </c>
      <c r="S146" s="14">
        <v>4500972</v>
      </c>
      <c r="T146" s="14">
        <v>3779748</v>
      </c>
      <c r="U146" s="14">
        <v>4224948</v>
      </c>
      <c r="V146" s="14">
        <v>4133682</v>
      </c>
      <c r="W146" s="14">
        <v>4503198</v>
      </c>
      <c r="X146" s="14">
        <v>4164846</v>
      </c>
      <c r="Y146" s="14">
        <v>3712968</v>
      </c>
      <c r="Z146" s="14">
        <v>3924438</v>
      </c>
      <c r="AA146" s="14">
        <v>3603894</v>
      </c>
      <c r="AB146" s="13">
        <f t="shared" si="5"/>
        <v>49014294</v>
      </c>
    </row>
    <row r="147" spans="1:28" x14ac:dyDescent="0.3">
      <c r="A147" s="11">
        <v>141</v>
      </c>
      <c r="B147" s="12" t="s">
        <v>362</v>
      </c>
      <c r="C147" s="14">
        <v>286</v>
      </c>
      <c r="D147" s="14">
        <v>247</v>
      </c>
      <c r="E147" s="14">
        <v>275</v>
      </c>
      <c r="F147" s="14">
        <v>312</v>
      </c>
      <c r="G147" s="14">
        <v>210</v>
      </c>
      <c r="H147" s="14">
        <v>343</v>
      </c>
      <c r="I147" s="14">
        <v>305</v>
      </c>
      <c r="J147" s="14">
        <v>268</v>
      </c>
      <c r="K147" s="14">
        <v>63</v>
      </c>
      <c r="L147" s="14">
        <v>74</v>
      </c>
      <c r="M147" s="14">
        <v>118</v>
      </c>
      <c r="N147" s="14">
        <v>273</v>
      </c>
      <c r="O147" s="13">
        <f t="shared" si="4"/>
        <v>2774</v>
      </c>
      <c r="P147" s="14">
        <v>592592</v>
      </c>
      <c r="Q147" s="14">
        <v>511784</v>
      </c>
      <c r="R147" s="14">
        <v>569800</v>
      </c>
      <c r="S147" s="14">
        <v>646464</v>
      </c>
      <c r="T147" s="14">
        <v>435120</v>
      </c>
      <c r="U147" s="14">
        <v>710696</v>
      </c>
      <c r="V147" s="14">
        <v>631960</v>
      </c>
      <c r="W147" s="14">
        <v>555296</v>
      </c>
      <c r="X147" s="14">
        <v>130536</v>
      </c>
      <c r="Y147" s="14">
        <v>153328</v>
      </c>
      <c r="Z147" s="14">
        <v>244496</v>
      </c>
      <c r="AA147" s="14">
        <v>565656</v>
      </c>
      <c r="AB147" s="13">
        <f t="shared" si="5"/>
        <v>5747728</v>
      </c>
    </row>
    <row r="148" spans="1:28" x14ac:dyDescent="0.3">
      <c r="A148" s="11">
        <v>142</v>
      </c>
      <c r="B148" s="12" t="s">
        <v>383</v>
      </c>
      <c r="C148" s="14">
        <v>189</v>
      </c>
      <c r="D148" s="14">
        <v>200</v>
      </c>
      <c r="E148" s="14">
        <v>171</v>
      </c>
      <c r="F148" s="14">
        <v>177</v>
      </c>
      <c r="G148" s="14">
        <v>180</v>
      </c>
      <c r="H148" s="14">
        <v>211</v>
      </c>
      <c r="I148" s="14">
        <v>253</v>
      </c>
      <c r="J148" s="14">
        <v>290</v>
      </c>
      <c r="K148" s="14">
        <v>300</v>
      </c>
      <c r="L148" s="14">
        <v>357</v>
      </c>
      <c r="M148" s="14">
        <v>328</v>
      </c>
      <c r="N148" s="14">
        <v>252</v>
      </c>
      <c r="O148" s="13">
        <f t="shared" si="4"/>
        <v>2908</v>
      </c>
      <c r="P148" s="14">
        <v>391608</v>
      </c>
      <c r="Q148" s="14">
        <v>414400</v>
      </c>
      <c r="R148" s="14">
        <v>354312</v>
      </c>
      <c r="S148" s="14">
        <v>366744</v>
      </c>
      <c r="T148" s="14">
        <v>372960</v>
      </c>
      <c r="U148" s="14">
        <v>437192</v>
      </c>
      <c r="V148" s="14">
        <v>524216</v>
      </c>
      <c r="W148" s="14">
        <v>600880</v>
      </c>
      <c r="X148" s="14">
        <v>621600</v>
      </c>
      <c r="Y148" s="14">
        <v>739704</v>
      </c>
      <c r="Z148" s="14">
        <v>679616</v>
      </c>
      <c r="AA148" s="14">
        <v>522144</v>
      </c>
      <c r="AB148" s="13">
        <f t="shared" si="5"/>
        <v>6025376</v>
      </c>
    </row>
    <row r="149" spans="1:28" x14ac:dyDescent="0.3">
      <c r="A149" s="11">
        <v>143</v>
      </c>
      <c r="B149" s="12" t="s">
        <v>333</v>
      </c>
      <c r="C149" s="14">
        <v>13</v>
      </c>
      <c r="D149" s="14">
        <v>26</v>
      </c>
      <c r="E149" s="14">
        <v>10</v>
      </c>
      <c r="F149" s="14">
        <v>14</v>
      </c>
      <c r="G149" s="14">
        <v>18</v>
      </c>
      <c r="H149" s="14">
        <v>40</v>
      </c>
      <c r="I149" s="14">
        <v>14</v>
      </c>
      <c r="J149" s="14">
        <v>8</v>
      </c>
      <c r="K149" s="14">
        <v>18</v>
      </c>
      <c r="L149" s="14">
        <v>18</v>
      </c>
      <c r="M149" s="14">
        <v>13</v>
      </c>
      <c r="N149" s="14">
        <v>15</v>
      </c>
      <c r="O149" s="13">
        <f t="shared" si="4"/>
        <v>207</v>
      </c>
      <c r="P149" s="14">
        <v>28938</v>
      </c>
      <c r="Q149" s="14">
        <v>57876</v>
      </c>
      <c r="R149" s="14">
        <v>22260</v>
      </c>
      <c r="S149" s="14">
        <v>31164</v>
      </c>
      <c r="T149" s="14">
        <v>40068</v>
      </c>
      <c r="U149" s="14">
        <v>89040</v>
      </c>
      <c r="V149" s="14">
        <v>31164</v>
      </c>
      <c r="W149" s="14">
        <v>17808</v>
      </c>
      <c r="X149" s="14">
        <v>40068</v>
      </c>
      <c r="Y149" s="14">
        <v>40068</v>
      </c>
      <c r="Z149" s="14">
        <v>28938</v>
      </c>
      <c r="AA149" s="14">
        <v>33390</v>
      </c>
      <c r="AB149" s="13">
        <f t="shared" si="5"/>
        <v>460782</v>
      </c>
    </row>
    <row r="150" spans="1:28" x14ac:dyDescent="0.3">
      <c r="A150" s="11">
        <v>144</v>
      </c>
      <c r="B150" s="12" t="s">
        <v>479</v>
      </c>
      <c r="C150" s="14">
        <v>284</v>
      </c>
      <c r="D150" s="14">
        <v>303</v>
      </c>
      <c r="E150" s="14">
        <v>299</v>
      </c>
      <c r="F150" s="14">
        <v>274</v>
      </c>
      <c r="G150" s="14">
        <v>194</v>
      </c>
      <c r="H150" s="14">
        <v>329</v>
      </c>
      <c r="I150" s="14">
        <v>337</v>
      </c>
      <c r="J150" s="14">
        <v>270</v>
      </c>
      <c r="K150" s="14">
        <v>317</v>
      </c>
      <c r="L150" s="14">
        <v>343</v>
      </c>
      <c r="M150" s="14">
        <v>337</v>
      </c>
      <c r="N150" s="14">
        <v>333</v>
      </c>
      <c r="O150" s="13">
        <f t="shared" si="4"/>
        <v>3620</v>
      </c>
      <c r="P150" s="14">
        <v>632184</v>
      </c>
      <c r="Q150" s="14">
        <v>674478</v>
      </c>
      <c r="R150" s="14">
        <v>665574</v>
      </c>
      <c r="S150" s="14">
        <v>609924</v>
      </c>
      <c r="T150" s="14">
        <v>431844</v>
      </c>
      <c r="U150" s="14">
        <v>732354</v>
      </c>
      <c r="V150" s="14">
        <v>750162</v>
      </c>
      <c r="W150" s="14">
        <v>601020</v>
      </c>
      <c r="X150" s="14">
        <v>705642</v>
      </c>
      <c r="Y150" s="14">
        <v>763518</v>
      </c>
      <c r="Z150" s="14">
        <v>750162</v>
      </c>
      <c r="AA150" s="14">
        <v>741258</v>
      </c>
      <c r="AB150" s="13">
        <f t="shared" si="5"/>
        <v>8058120</v>
      </c>
    </row>
    <row r="151" spans="1:28" x14ac:dyDescent="0.3">
      <c r="A151" s="11">
        <v>145</v>
      </c>
      <c r="B151" s="12" t="s">
        <v>245</v>
      </c>
      <c r="C151" s="14">
        <v>18</v>
      </c>
      <c r="D151" s="14">
        <v>32</v>
      </c>
      <c r="E151" s="14">
        <v>44</v>
      </c>
      <c r="F151" s="14">
        <v>23</v>
      </c>
      <c r="G151" s="14">
        <v>30</v>
      </c>
      <c r="H151" s="14">
        <v>37</v>
      </c>
      <c r="I151" s="14">
        <v>12</v>
      </c>
      <c r="J151" s="14">
        <v>12</v>
      </c>
      <c r="K151" s="14">
        <v>28</v>
      </c>
      <c r="L151" s="14">
        <v>28</v>
      </c>
      <c r="M151" s="14">
        <v>38</v>
      </c>
      <c r="N151" s="14">
        <v>24</v>
      </c>
      <c r="O151" s="13">
        <f t="shared" si="4"/>
        <v>326</v>
      </c>
      <c r="P151" s="14">
        <v>40068</v>
      </c>
      <c r="Q151" s="14">
        <v>71232</v>
      </c>
      <c r="R151" s="14">
        <v>97944</v>
      </c>
      <c r="S151" s="14">
        <v>51198</v>
      </c>
      <c r="T151" s="14">
        <v>66780</v>
      </c>
      <c r="U151" s="14">
        <v>82362</v>
      </c>
      <c r="V151" s="14">
        <v>26712</v>
      </c>
      <c r="W151" s="14">
        <v>26712</v>
      </c>
      <c r="X151" s="14">
        <v>62328</v>
      </c>
      <c r="Y151" s="14">
        <v>62328</v>
      </c>
      <c r="Z151" s="14">
        <v>84588</v>
      </c>
      <c r="AA151" s="14">
        <v>53424</v>
      </c>
      <c r="AB151" s="13">
        <f t="shared" si="5"/>
        <v>725676</v>
      </c>
    </row>
    <row r="152" spans="1:28" x14ac:dyDescent="0.3">
      <c r="A152" s="11">
        <v>146</v>
      </c>
      <c r="B152" s="12" t="s">
        <v>454</v>
      </c>
      <c r="C152" s="14">
        <v>2429</v>
      </c>
      <c r="D152" s="14">
        <v>2846</v>
      </c>
      <c r="E152" s="14">
        <v>2406</v>
      </c>
      <c r="F152" s="14">
        <v>2135</v>
      </c>
      <c r="G152" s="14">
        <v>1539</v>
      </c>
      <c r="H152" s="14">
        <v>2271</v>
      </c>
      <c r="I152" s="14">
        <v>2123</v>
      </c>
      <c r="J152" s="14">
        <v>1714</v>
      </c>
      <c r="K152" s="14">
        <v>552</v>
      </c>
      <c r="L152" s="14">
        <v>593</v>
      </c>
      <c r="M152" s="14">
        <v>822</v>
      </c>
      <c r="N152" s="14">
        <v>2861</v>
      </c>
      <c r="O152" s="13">
        <f t="shared" si="4"/>
        <v>22291</v>
      </c>
      <c r="P152" s="14">
        <v>5032888</v>
      </c>
      <c r="Q152" s="14">
        <v>5896912</v>
      </c>
      <c r="R152" s="14">
        <v>4985232</v>
      </c>
      <c r="S152" s="14">
        <v>4423720</v>
      </c>
      <c r="T152" s="14">
        <v>3188808</v>
      </c>
      <c r="U152" s="14">
        <v>4705512</v>
      </c>
      <c r="V152" s="14">
        <v>4398856</v>
      </c>
      <c r="W152" s="14">
        <v>3551408</v>
      </c>
      <c r="X152" s="14">
        <v>1143744</v>
      </c>
      <c r="Y152" s="14">
        <v>1228696</v>
      </c>
      <c r="Z152" s="14">
        <v>1703184</v>
      </c>
      <c r="AA152" s="14">
        <v>5927992</v>
      </c>
      <c r="AB152" s="13">
        <f t="shared" si="5"/>
        <v>46186952</v>
      </c>
    </row>
    <row r="153" spans="1:28" x14ac:dyDescent="0.3">
      <c r="A153" s="11">
        <v>147</v>
      </c>
      <c r="B153" s="12" t="s">
        <v>548</v>
      </c>
      <c r="C153" s="14">
        <v>22</v>
      </c>
      <c r="D153" s="14">
        <v>37</v>
      </c>
      <c r="E153" s="14">
        <v>44</v>
      </c>
      <c r="F153" s="14">
        <v>36</v>
      </c>
      <c r="G153" s="14"/>
      <c r="H153" s="14">
        <v>32</v>
      </c>
      <c r="I153" s="14"/>
      <c r="J153" s="14"/>
      <c r="K153" s="14"/>
      <c r="L153" s="14">
        <v>49</v>
      </c>
      <c r="M153" s="14">
        <v>48</v>
      </c>
      <c r="N153" s="14"/>
      <c r="O153" s="13">
        <f t="shared" si="4"/>
        <v>268</v>
      </c>
      <c r="P153" s="14">
        <v>48972</v>
      </c>
      <c r="Q153" s="14">
        <v>82362</v>
      </c>
      <c r="R153" s="14">
        <v>97944</v>
      </c>
      <c r="S153" s="14">
        <v>80136</v>
      </c>
      <c r="T153" s="14"/>
      <c r="U153" s="14">
        <v>71232</v>
      </c>
      <c r="V153" s="14"/>
      <c r="W153" s="14"/>
      <c r="X153" s="14"/>
      <c r="Y153" s="14">
        <v>109074</v>
      </c>
      <c r="Z153" s="14">
        <v>106848</v>
      </c>
      <c r="AA153" s="14"/>
      <c r="AB153" s="13">
        <f t="shared" si="5"/>
        <v>596568</v>
      </c>
    </row>
    <row r="154" spans="1:28" x14ac:dyDescent="0.3">
      <c r="A154" s="11">
        <v>148</v>
      </c>
      <c r="B154" s="12" t="s">
        <v>334</v>
      </c>
      <c r="C154" s="14">
        <v>15</v>
      </c>
      <c r="D154" s="14">
        <v>15</v>
      </c>
      <c r="E154" s="14">
        <v>17</v>
      </c>
      <c r="F154" s="14">
        <v>16</v>
      </c>
      <c r="G154" s="14">
        <v>16</v>
      </c>
      <c r="H154" s="14">
        <v>33</v>
      </c>
      <c r="I154" s="14">
        <v>8</v>
      </c>
      <c r="J154" s="14">
        <v>11</v>
      </c>
      <c r="K154" s="14">
        <v>14</v>
      </c>
      <c r="L154" s="14">
        <v>19</v>
      </c>
      <c r="M154" s="14"/>
      <c r="N154" s="14"/>
      <c r="O154" s="13">
        <f t="shared" si="4"/>
        <v>164</v>
      </c>
      <c r="P154" s="14">
        <v>33390</v>
      </c>
      <c r="Q154" s="14">
        <v>33390</v>
      </c>
      <c r="R154" s="14">
        <v>37842</v>
      </c>
      <c r="S154" s="14">
        <v>35616</v>
      </c>
      <c r="T154" s="14">
        <v>35616</v>
      </c>
      <c r="U154" s="14">
        <v>73458</v>
      </c>
      <c r="V154" s="14">
        <v>17808</v>
      </c>
      <c r="W154" s="14">
        <v>24486</v>
      </c>
      <c r="X154" s="14">
        <v>31164</v>
      </c>
      <c r="Y154" s="14">
        <v>42294</v>
      </c>
      <c r="Z154" s="14"/>
      <c r="AA154" s="14"/>
      <c r="AB154" s="13">
        <f t="shared" si="5"/>
        <v>365064</v>
      </c>
    </row>
    <row r="155" spans="1:28" x14ac:dyDescent="0.3">
      <c r="A155" s="11">
        <v>149</v>
      </c>
      <c r="B155" s="12" t="s">
        <v>259</v>
      </c>
      <c r="C155" s="14">
        <v>27</v>
      </c>
      <c r="D155" s="14">
        <v>41</v>
      </c>
      <c r="E155" s="14">
        <v>21</v>
      </c>
      <c r="F155" s="14">
        <v>23</v>
      </c>
      <c r="G155" s="14">
        <v>12</v>
      </c>
      <c r="H155" s="14">
        <v>50</v>
      </c>
      <c r="I155" s="14">
        <v>17</v>
      </c>
      <c r="J155" s="14">
        <v>35</v>
      </c>
      <c r="K155" s="14">
        <v>25</v>
      </c>
      <c r="L155" s="14">
        <v>21</v>
      </c>
      <c r="M155" s="14"/>
      <c r="N155" s="14">
        <v>34</v>
      </c>
      <c r="O155" s="13">
        <f t="shared" si="4"/>
        <v>306</v>
      </c>
      <c r="P155" s="14">
        <v>60102</v>
      </c>
      <c r="Q155" s="14">
        <v>91266</v>
      </c>
      <c r="R155" s="14">
        <v>46746</v>
      </c>
      <c r="S155" s="14">
        <v>51198</v>
      </c>
      <c r="T155" s="14">
        <v>26712</v>
      </c>
      <c r="U155" s="14">
        <v>111300</v>
      </c>
      <c r="V155" s="14">
        <v>37842</v>
      </c>
      <c r="W155" s="14">
        <v>77910</v>
      </c>
      <c r="X155" s="14">
        <v>55650</v>
      </c>
      <c r="Y155" s="14">
        <v>46746</v>
      </c>
      <c r="Z155" s="14"/>
      <c r="AA155" s="14">
        <v>75684</v>
      </c>
      <c r="AB155" s="13">
        <f t="shared" si="5"/>
        <v>681156</v>
      </c>
    </row>
    <row r="156" spans="1:28" x14ac:dyDescent="0.3">
      <c r="A156" s="11">
        <v>150</v>
      </c>
      <c r="B156" s="12" t="s">
        <v>476</v>
      </c>
      <c r="C156" s="14">
        <v>5284</v>
      </c>
      <c r="D156" s="14">
        <v>4903</v>
      </c>
      <c r="E156" s="14">
        <v>5076</v>
      </c>
      <c r="F156" s="14">
        <v>4605</v>
      </c>
      <c r="G156" s="14">
        <v>3300</v>
      </c>
      <c r="H156" s="14">
        <v>5176</v>
      </c>
      <c r="I156" s="14">
        <v>5739</v>
      </c>
      <c r="J156" s="14">
        <v>4394</v>
      </c>
      <c r="K156" s="14">
        <v>2074</v>
      </c>
      <c r="L156" s="14">
        <v>1460</v>
      </c>
      <c r="M156" s="14">
        <v>1604</v>
      </c>
      <c r="N156" s="14">
        <v>4778</v>
      </c>
      <c r="O156" s="13">
        <f t="shared" si="4"/>
        <v>48393</v>
      </c>
      <c r="P156" s="14">
        <v>10948448</v>
      </c>
      <c r="Q156" s="14">
        <v>10159016</v>
      </c>
      <c r="R156" s="14">
        <v>10517472</v>
      </c>
      <c r="S156" s="14">
        <v>9541560</v>
      </c>
      <c r="T156" s="14">
        <v>6837600</v>
      </c>
      <c r="U156" s="14">
        <v>10724672</v>
      </c>
      <c r="V156" s="14">
        <v>11891208</v>
      </c>
      <c r="W156" s="14">
        <v>9104368</v>
      </c>
      <c r="X156" s="14">
        <v>4297328</v>
      </c>
      <c r="Y156" s="14">
        <v>3025120</v>
      </c>
      <c r="Z156" s="14">
        <v>3323488</v>
      </c>
      <c r="AA156" s="14">
        <v>9900016</v>
      </c>
      <c r="AB156" s="13">
        <f t="shared" si="5"/>
        <v>100270296</v>
      </c>
    </row>
    <row r="157" spans="1:28" x14ac:dyDescent="0.3">
      <c r="A157" s="11">
        <v>151</v>
      </c>
      <c r="B157" s="12" t="s">
        <v>335</v>
      </c>
      <c r="C157" s="14">
        <v>148</v>
      </c>
      <c r="D157" s="14">
        <v>183</v>
      </c>
      <c r="E157" s="14">
        <v>119</v>
      </c>
      <c r="F157" s="14">
        <v>92</v>
      </c>
      <c r="G157" s="14"/>
      <c r="H157" s="14"/>
      <c r="I157" s="14"/>
      <c r="J157" s="14"/>
      <c r="K157" s="14"/>
      <c r="L157" s="14"/>
      <c r="M157" s="14"/>
      <c r="N157" s="14"/>
      <c r="O157" s="13">
        <f t="shared" si="4"/>
        <v>542</v>
      </c>
      <c r="P157" s="14">
        <v>329448</v>
      </c>
      <c r="Q157" s="14">
        <v>407358</v>
      </c>
      <c r="R157" s="14">
        <v>264894</v>
      </c>
      <c r="S157" s="14">
        <v>204792</v>
      </c>
      <c r="T157" s="14"/>
      <c r="U157" s="14"/>
      <c r="V157" s="14"/>
      <c r="W157" s="14"/>
      <c r="X157" s="14"/>
      <c r="Y157" s="14"/>
      <c r="Z157" s="14"/>
      <c r="AA157" s="14"/>
      <c r="AB157" s="13">
        <f t="shared" si="5"/>
        <v>1206492</v>
      </c>
    </row>
    <row r="158" spans="1:28" x14ac:dyDescent="0.3">
      <c r="A158" s="11">
        <v>152</v>
      </c>
      <c r="B158" s="12" t="s">
        <v>381</v>
      </c>
      <c r="C158" s="14">
        <v>2006</v>
      </c>
      <c r="D158" s="14">
        <v>1911</v>
      </c>
      <c r="E158" s="14">
        <v>2015</v>
      </c>
      <c r="F158" s="14">
        <v>1619</v>
      </c>
      <c r="G158" s="14">
        <v>927</v>
      </c>
      <c r="H158" s="14">
        <v>1625</v>
      </c>
      <c r="I158" s="14">
        <v>1621</v>
      </c>
      <c r="J158" s="14">
        <v>1647</v>
      </c>
      <c r="K158" s="14">
        <v>328</v>
      </c>
      <c r="L158" s="14">
        <v>288</v>
      </c>
      <c r="M158" s="14">
        <v>784</v>
      </c>
      <c r="N158" s="14">
        <v>1671</v>
      </c>
      <c r="O158" s="13">
        <f t="shared" si="4"/>
        <v>16442</v>
      </c>
      <c r="P158" s="14">
        <v>4156432</v>
      </c>
      <c r="Q158" s="14">
        <v>3959592</v>
      </c>
      <c r="R158" s="14">
        <v>4175080</v>
      </c>
      <c r="S158" s="14">
        <v>3354568</v>
      </c>
      <c r="T158" s="14">
        <v>1920744</v>
      </c>
      <c r="U158" s="14">
        <v>3367000</v>
      </c>
      <c r="V158" s="14">
        <v>3358712</v>
      </c>
      <c r="W158" s="14">
        <v>3412584</v>
      </c>
      <c r="X158" s="14">
        <v>679616</v>
      </c>
      <c r="Y158" s="14">
        <v>596736</v>
      </c>
      <c r="Z158" s="14">
        <v>1624448</v>
      </c>
      <c r="AA158" s="14">
        <v>3462312</v>
      </c>
      <c r="AB158" s="13">
        <f t="shared" si="5"/>
        <v>34067824</v>
      </c>
    </row>
    <row r="159" spans="1:28" x14ac:dyDescent="0.3">
      <c r="A159" s="11">
        <v>153</v>
      </c>
      <c r="B159" s="12" t="s">
        <v>260</v>
      </c>
      <c r="C159" s="14">
        <v>31</v>
      </c>
      <c r="D159" s="14">
        <v>39</v>
      </c>
      <c r="E159" s="14">
        <v>20</v>
      </c>
      <c r="F159" s="14">
        <v>25</v>
      </c>
      <c r="G159" s="14">
        <v>15</v>
      </c>
      <c r="H159" s="14">
        <v>57</v>
      </c>
      <c r="I159" s="14">
        <v>13</v>
      </c>
      <c r="J159" s="14">
        <v>11</v>
      </c>
      <c r="K159" s="14">
        <v>18</v>
      </c>
      <c r="L159" s="14">
        <v>9</v>
      </c>
      <c r="M159" s="14">
        <v>6</v>
      </c>
      <c r="N159" s="14">
        <v>8</v>
      </c>
      <c r="O159" s="13">
        <f t="shared" si="4"/>
        <v>252</v>
      </c>
      <c r="P159" s="14">
        <v>69006</v>
      </c>
      <c r="Q159" s="14">
        <v>86814</v>
      </c>
      <c r="R159" s="14">
        <v>44520</v>
      </c>
      <c r="S159" s="14">
        <v>55650</v>
      </c>
      <c r="T159" s="14">
        <v>33390</v>
      </c>
      <c r="U159" s="14">
        <v>126882</v>
      </c>
      <c r="V159" s="14">
        <v>28938</v>
      </c>
      <c r="W159" s="14">
        <v>24486</v>
      </c>
      <c r="X159" s="14">
        <v>40068</v>
      </c>
      <c r="Y159" s="14">
        <v>20034</v>
      </c>
      <c r="Z159" s="14">
        <v>13356</v>
      </c>
      <c r="AA159" s="14">
        <v>17808</v>
      </c>
      <c r="AB159" s="13">
        <f t="shared" si="5"/>
        <v>560952</v>
      </c>
    </row>
    <row r="160" spans="1:28" x14ac:dyDescent="0.3">
      <c r="A160" s="11">
        <v>154</v>
      </c>
      <c r="B160" s="12" t="s">
        <v>462</v>
      </c>
      <c r="C160" s="14">
        <v>4095</v>
      </c>
      <c r="D160" s="14">
        <v>4024</v>
      </c>
      <c r="E160" s="14">
        <v>3647</v>
      </c>
      <c r="F160" s="14">
        <v>3892</v>
      </c>
      <c r="G160" s="14">
        <v>2841</v>
      </c>
      <c r="H160" s="14">
        <v>4759</v>
      </c>
      <c r="I160" s="14">
        <v>4198</v>
      </c>
      <c r="J160" s="14">
        <v>2987</v>
      </c>
      <c r="K160" s="14">
        <v>1855</v>
      </c>
      <c r="L160" s="14">
        <v>1830</v>
      </c>
      <c r="M160" s="14">
        <v>1970</v>
      </c>
      <c r="N160" s="14">
        <v>4264</v>
      </c>
      <c r="O160" s="13">
        <f t="shared" si="4"/>
        <v>40362</v>
      </c>
      <c r="P160" s="14">
        <v>8484840</v>
      </c>
      <c r="Q160" s="14">
        <v>8337728</v>
      </c>
      <c r="R160" s="14">
        <v>7556584</v>
      </c>
      <c r="S160" s="14">
        <v>8064224</v>
      </c>
      <c r="T160" s="14">
        <v>5886552</v>
      </c>
      <c r="U160" s="14">
        <v>9860648</v>
      </c>
      <c r="V160" s="14">
        <v>8698256</v>
      </c>
      <c r="W160" s="14">
        <v>6189064</v>
      </c>
      <c r="X160" s="14">
        <v>3843560</v>
      </c>
      <c r="Y160" s="14">
        <v>3791760</v>
      </c>
      <c r="Z160" s="14">
        <v>4081840</v>
      </c>
      <c r="AA160" s="14">
        <v>8835008</v>
      </c>
      <c r="AB160" s="13">
        <f t="shared" si="5"/>
        <v>83630064</v>
      </c>
    </row>
    <row r="161" spans="1:28" x14ac:dyDescent="0.3">
      <c r="A161" s="11">
        <v>155</v>
      </c>
      <c r="B161" s="12" t="s">
        <v>386</v>
      </c>
      <c r="C161" s="14">
        <v>129</v>
      </c>
      <c r="D161" s="14">
        <v>110</v>
      </c>
      <c r="E161" s="14">
        <v>134</v>
      </c>
      <c r="F161" s="14">
        <v>114</v>
      </c>
      <c r="G161" s="14">
        <v>70</v>
      </c>
      <c r="H161" s="14">
        <v>123</v>
      </c>
      <c r="I161" s="14">
        <v>118</v>
      </c>
      <c r="J161" s="14">
        <v>84</v>
      </c>
      <c r="K161" s="14">
        <v>7</v>
      </c>
      <c r="L161" s="14">
        <v>6</v>
      </c>
      <c r="M161" s="14">
        <v>58</v>
      </c>
      <c r="N161" s="14">
        <v>102</v>
      </c>
      <c r="O161" s="13">
        <f t="shared" si="4"/>
        <v>1055</v>
      </c>
      <c r="P161" s="14">
        <v>267288</v>
      </c>
      <c r="Q161" s="14">
        <v>227920</v>
      </c>
      <c r="R161" s="14">
        <v>277648</v>
      </c>
      <c r="S161" s="14">
        <v>236208</v>
      </c>
      <c r="T161" s="14">
        <v>145040</v>
      </c>
      <c r="U161" s="14">
        <v>254856</v>
      </c>
      <c r="V161" s="14">
        <v>244496</v>
      </c>
      <c r="W161" s="14">
        <v>174048</v>
      </c>
      <c r="X161" s="14">
        <v>14504</v>
      </c>
      <c r="Y161" s="14">
        <v>12432</v>
      </c>
      <c r="Z161" s="14">
        <v>120176</v>
      </c>
      <c r="AA161" s="14">
        <v>211344</v>
      </c>
      <c r="AB161" s="13">
        <f t="shared" si="5"/>
        <v>2185960</v>
      </c>
    </row>
    <row r="162" spans="1:28" x14ac:dyDescent="0.3">
      <c r="A162" s="11">
        <v>156</v>
      </c>
      <c r="B162" s="12" t="s">
        <v>513</v>
      </c>
      <c r="C162" s="14">
        <v>26</v>
      </c>
      <c r="D162" s="14">
        <v>43</v>
      </c>
      <c r="E162" s="14">
        <v>73</v>
      </c>
      <c r="F162" s="14">
        <v>52</v>
      </c>
      <c r="G162" s="14">
        <v>38</v>
      </c>
      <c r="H162" s="14">
        <v>83</v>
      </c>
      <c r="I162" s="14">
        <v>45</v>
      </c>
      <c r="J162" s="14">
        <v>62</v>
      </c>
      <c r="K162" s="14">
        <v>85</v>
      </c>
      <c r="L162" s="14">
        <v>83</v>
      </c>
      <c r="M162" s="14">
        <v>65</v>
      </c>
      <c r="N162" s="14">
        <v>108</v>
      </c>
      <c r="O162" s="13">
        <f t="shared" si="4"/>
        <v>763</v>
      </c>
      <c r="P162" s="14">
        <v>57876</v>
      </c>
      <c r="Q162" s="14">
        <v>95718</v>
      </c>
      <c r="R162" s="14">
        <v>162498</v>
      </c>
      <c r="S162" s="14">
        <v>115752</v>
      </c>
      <c r="T162" s="14">
        <v>84588</v>
      </c>
      <c r="U162" s="14">
        <v>184758</v>
      </c>
      <c r="V162" s="14">
        <v>100170</v>
      </c>
      <c r="W162" s="14">
        <v>138012</v>
      </c>
      <c r="X162" s="14">
        <v>189210</v>
      </c>
      <c r="Y162" s="14">
        <v>184758</v>
      </c>
      <c r="Z162" s="14">
        <v>144690</v>
      </c>
      <c r="AA162" s="14">
        <v>240408</v>
      </c>
      <c r="AB162" s="13">
        <f t="shared" si="5"/>
        <v>1698438</v>
      </c>
    </row>
    <row r="163" spans="1:28" x14ac:dyDescent="0.3">
      <c r="A163" s="11">
        <v>157</v>
      </c>
      <c r="B163" s="12" t="s">
        <v>321</v>
      </c>
      <c r="C163" s="14">
        <v>1321</v>
      </c>
      <c r="D163" s="14">
        <v>1207</v>
      </c>
      <c r="E163" s="14">
        <v>1457</v>
      </c>
      <c r="F163" s="14">
        <v>1787</v>
      </c>
      <c r="G163" s="14">
        <v>903</v>
      </c>
      <c r="H163" s="14">
        <v>1297</v>
      </c>
      <c r="I163" s="14">
        <v>1633</v>
      </c>
      <c r="J163" s="14">
        <v>1394</v>
      </c>
      <c r="K163" s="14">
        <v>1943</v>
      </c>
      <c r="L163" s="14">
        <v>1428</v>
      </c>
      <c r="M163" s="14">
        <v>1317</v>
      </c>
      <c r="N163" s="14">
        <v>1375</v>
      </c>
      <c r="O163" s="13">
        <f t="shared" si="4"/>
        <v>17062</v>
      </c>
      <c r="P163" s="14">
        <v>2940546</v>
      </c>
      <c r="Q163" s="14">
        <v>2686782</v>
      </c>
      <c r="R163" s="14">
        <v>3243282</v>
      </c>
      <c r="S163" s="14">
        <v>3977862</v>
      </c>
      <c r="T163" s="14">
        <v>2010078</v>
      </c>
      <c r="U163" s="14">
        <v>2887122</v>
      </c>
      <c r="V163" s="14">
        <v>3635058</v>
      </c>
      <c r="W163" s="14">
        <v>3103044</v>
      </c>
      <c r="X163" s="14">
        <v>4325118</v>
      </c>
      <c r="Y163" s="14">
        <v>3178728</v>
      </c>
      <c r="Z163" s="14">
        <v>2931642</v>
      </c>
      <c r="AA163" s="14">
        <v>3060750</v>
      </c>
      <c r="AB163" s="13">
        <f t="shared" si="5"/>
        <v>37980012</v>
      </c>
    </row>
    <row r="164" spans="1:28" x14ac:dyDescent="0.3">
      <c r="A164" s="11">
        <v>158</v>
      </c>
      <c r="B164" s="12" t="s">
        <v>765</v>
      </c>
      <c r="C164" s="14"/>
      <c r="D164" s="14"/>
      <c r="E164" s="14">
        <v>99</v>
      </c>
      <c r="F164" s="14">
        <v>162</v>
      </c>
      <c r="G164" s="14">
        <v>102</v>
      </c>
      <c r="H164" s="14">
        <v>130</v>
      </c>
      <c r="I164" s="14">
        <v>133</v>
      </c>
      <c r="J164" s="14">
        <v>117</v>
      </c>
      <c r="K164" s="14">
        <v>52</v>
      </c>
      <c r="L164" s="14">
        <v>74</v>
      </c>
      <c r="M164" s="14">
        <v>86</v>
      </c>
      <c r="N164" s="14">
        <v>88</v>
      </c>
      <c r="O164" s="13">
        <f t="shared" si="4"/>
        <v>1043</v>
      </c>
      <c r="P164" s="14"/>
      <c r="Q164" s="14"/>
      <c r="R164" s="14">
        <v>220374</v>
      </c>
      <c r="S164" s="14">
        <v>360612</v>
      </c>
      <c r="T164" s="14">
        <v>227052</v>
      </c>
      <c r="U164" s="14">
        <v>289380</v>
      </c>
      <c r="V164" s="14">
        <v>296058</v>
      </c>
      <c r="W164" s="14">
        <v>260442</v>
      </c>
      <c r="X164" s="14">
        <v>115752</v>
      </c>
      <c r="Y164" s="14">
        <v>164724</v>
      </c>
      <c r="Z164" s="14">
        <v>191436</v>
      </c>
      <c r="AA164" s="14">
        <v>195888</v>
      </c>
      <c r="AB164" s="13">
        <f t="shared" si="5"/>
        <v>2321718</v>
      </c>
    </row>
    <row r="165" spans="1:28" x14ac:dyDescent="0.3">
      <c r="A165" s="11">
        <v>159</v>
      </c>
      <c r="B165" s="12" t="s">
        <v>344</v>
      </c>
      <c r="C165" s="14">
        <v>49</v>
      </c>
      <c r="D165" s="14">
        <v>30</v>
      </c>
      <c r="E165" s="14">
        <v>26</v>
      </c>
      <c r="F165" s="14">
        <v>12</v>
      </c>
      <c r="G165" s="14"/>
      <c r="H165" s="14">
        <v>8</v>
      </c>
      <c r="I165" s="14">
        <v>87</v>
      </c>
      <c r="J165" s="14">
        <v>82</v>
      </c>
      <c r="K165" s="14">
        <v>90</v>
      </c>
      <c r="L165" s="14">
        <v>92</v>
      </c>
      <c r="M165" s="14">
        <v>46</v>
      </c>
      <c r="N165" s="14">
        <v>39</v>
      </c>
      <c r="O165" s="13">
        <f t="shared" si="4"/>
        <v>561</v>
      </c>
      <c r="P165" s="14">
        <v>109074</v>
      </c>
      <c r="Q165" s="14">
        <v>66780</v>
      </c>
      <c r="R165" s="14">
        <v>57876</v>
      </c>
      <c r="S165" s="14">
        <v>26712</v>
      </c>
      <c r="T165" s="14"/>
      <c r="U165" s="14">
        <v>17808</v>
      </c>
      <c r="V165" s="14">
        <v>193662</v>
      </c>
      <c r="W165" s="14">
        <v>182532</v>
      </c>
      <c r="X165" s="14">
        <v>200340</v>
      </c>
      <c r="Y165" s="14">
        <v>204792</v>
      </c>
      <c r="Z165" s="14">
        <v>102396</v>
      </c>
      <c r="AA165" s="14">
        <v>86814</v>
      </c>
      <c r="AB165" s="13">
        <f t="shared" si="5"/>
        <v>1248786</v>
      </c>
    </row>
    <row r="166" spans="1:28" x14ac:dyDescent="0.3">
      <c r="A166" s="11">
        <v>160</v>
      </c>
      <c r="B166" s="12" t="s">
        <v>507</v>
      </c>
      <c r="C166" s="14">
        <v>6</v>
      </c>
      <c r="D166" s="14">
        <v>16</v>
      </c>
      <c r="E166" s="14">
        <v>16</v>
      </c>
      <c r="F166" s="14">
        <v>17</v>
      </c>
      <c r="G166" s="14">
        <v>18</v>
      </c>
      <c r="H166" s="14">
        <v>25</v>
      </c>
      <c r="I166" s="14">
        <v>6</v>
      </c>
      <c r="J166" s="14">
        <v>6</v>
      </c>
      <c r="K166" s="14">
        <v>6</v>
      </c>
      <c r="L166" s="14"/>
      <c r="M166" s="14">
        <v>8</v>
      </c>
      <c r="N166" s="14">
        <v>8</v>
      </c>
      <c r="O166" s="13">
        <f t="shared" si="4"/>
        <v>132</v>
      </c>
      <c r="P166" s="14">
        <v>13356</v>
      </c>
      <c r="Q166" s="14">
        <v>35616</v>
      </c>
      <c r="R166" s="14">
        <v>35616</v>
      </c>
      <c r="S166" s="14">
        <v>37842</v>
      </c>
      <c r="T166" s="14">
        <v>40068</v>
      </c>
      <c r="U166" s="14">
        <v>55650</v>
      </c>
      <c r="V166" s="14">
        <v>13356</v>
      </c>
      <c r="W166" s="14">
        <v>13356</v>
      </c>
      <c r="X166" s="14">
        <v>13356</v>
      </c>
      <c r="Y166" s="14"/>
      <c r="Z166" s="14">
        <v>17808</v>
      </c>
      <c r="AA166" s="14">
        <v>17808</v>
      </c>
      <c r="AB166" s="13">
        <f t="shared" si="5"/>
        <v>293832</v>
      </c>
    </row>
    <row r="167" spans="1:28" x14ac:dyDescent="0.3">
      <c r="A167" s="11">
        <v>161</v>
      </c>
      <c r="B167" s="12" t="s">
        <v>528</v>
      </c>
      <c r="C167" s="14">
        <v>47</v>
      </c>
      <c r="D167" s="14">
        <v>50</v>
      </c>
      <c r="E167" s="14">
        <v>51</v>
      </c>
      <c r="F167" s="14">
        <v>47</v>
      </c>
      <c r="G167" s="14">
        <v>33</v>
      </c>
      <c r="H167" s="14">
        <v>76</v>
      </c>
      <c r="I167" s="14">
        <v>28</v>
      </c>
      <c r="J167" s="14">
        <v>47</v>
      </c>
      <c r="K167" s="14">
        <v>51</v>
      </c>
      <c r="L167" s="14">
        <v>14</v>
      </c>
      <c r="M167" s="14">
        <v>13</v>
      </c>
      <c r="N167" s="14">
        <v>11</v>
      </c>
      <c r="O167" s="13">
        <f t="shared" si="4"/>
        <v>468</v>
      </c>
      <c r="P167" s="14">
        <v>104622</v>
      </c>
      <c r="Q167" s="14">
        <v>111300</v>
      </c>
      <c r="R167" s="14">
        <v>113526</v>
      </c>
      <c r="S167" s="14">
        <v>104622</v>
      </c>
      <c r="T167" s="14">
        <v>73458</v>
      </c>
      <c r="U167" s="14">
        <v>169176</v>
      </c>
      <c r="V167" s="14">
        <v>62328</v>
      </c>
      <c r="W167" s="14">
        <v>104622</v>
      </c>
      <c r="X167" s="14">
        <v>113526</v>
      </c>
      <c r="Y167" s="14">
        <v>31164</v>
      </c>
      <c r="Z167" s="14">
        <v>28938</v>
      </c>
      <c r="AA167" s="14">
        <v>24486</v>
      </c>
      <c r="AB167" s="13">
        <f t="shared" si="5"/>
        <v>1041768</v>
      </c>
    </row>
    <row r="168" spans="1:28" x14ac:dyDescent="0.3">
      <c r="A168" s="11">
        <v>162</v>
      </c>
      <c r="B168" s="12" t="s">
        <v>384</v>
      </c>
      <c r="C168" s="14">
        <v>447</v>
      </c>
      <c r="D168" s="14">
        <v>361</v>
      </c>
      <c r="E168" s="14">
        <v>367</v>
      </c>
      <c r="F168" s="14">
        <v>298</v>
      </c>
      <c r="G168" s="14">
        <v>241</v>
      </c>
      <c r="H168" s="14">
        <v>339</v>
      </c>
      <c r="I168" s="14">
        <v>329</v>
      </c>
      <c r="J168" s="14">
        <v>262</v>
      </c>
      <c r="K168" s="14">
        <v>13</v>
      </c>
      <c r="L168" s="14">
        <v>18</v>
      </c>
      <c r="M168" s="14">
        <v>139</v>
      </c>
      <c r="N168" s="14">
        <v>333</v>
      </c>
      <c r="O168" s="13">
        <f t="shared" si="4"/>
        <v>3147</v>
      </c>
      <c r="P168" s="14">
        <v>926184</v>
      </c>
      <c r="Q168" s="14">
        <v>747992</v>
      </c>
      <c r="R168" s="14">
        <v>760424</v>
      </c>
      <c r="S168" s="14">
        <v>617456</v>
      </c>
      <c r="T168" s="14">
        <v>499352</v>
      </c>
      <c r="U168" s="14">
        <v>702408</v>
      </c>
      <c r="V168" s="14">
        <v>681688</v>
      </c>
      <c r="W168" s="14">
        <v>542864</v>
      </c>
      <c r="X168" s="14">
        <v>26936</v>
      </c>
      <c r="Y168" s="14">
        <v>37296</v>
      </c>
      <c r="Z168" s="14">
        <v>288008</v>
      </c>
      <c r="AA168" s="14">
        <v>689976</v>
      </c>
      <c r="AB168" s="13">
        <f t="shared" si="5"/>
        <v>6520584</v>
      </c>
    </row>
    <row r="169" spans="1:28" x14ac:dyDescent="0.3">
      <c r="A169" s="11">
        <v>163</v>
      </c>
      <c r="B169" s="12" t="s">
        <v>345</v>
      </c>
      <c r="C169" s="14">
        <v>234</v>
      </c>
      <c r="D169" s="14">
        <v>223</v>
      </c>
      <c r="E169" s="14">
        <v>208</v>
      </c>
      <c r="F169" s="14">
        <v>213</v>
      </c>
      <c r="G169" s="14">
        <v>207</v>
      </c>
      <c r="H169" s="14">
        <v>206</v>
      </c>
      <c r="I169" s="14">
        <v>226</v>
      </c>
      <c r="J169" s="14">
        <v>284</v>
      </c>
      <c r="K169" s="14">
        <v>212</v>
      </c>
      <c r="L169" s="14">
        <v>228</v>
      </c>
      <c r="M169" s="14">
        <v>271</v>
      </c>
      <c r="N169" s="14">
        <v>202</v>
      </c>
      <c r="O169" s="13">
        <f t="shared" si="4"/>
        <v>2714</v>
      </c>
      <c r="P169" s="14">
        <v>520884</v>
      </c>
      <c r="Q169" s="14">
        <v>496398</v>
      </c>
      <c r="R169" s="14">
        <v>463008</v>
      </c>
      <c r="S169" s="14">
        <v>474138</v>
      </c>
      <c r="T169" s="14">
        <v>460782</v>
      </c>
      <c r="U169" s="14">
        <v>458556</v>
      </c>
      <c r="V169" s="14">
        <v>503076</v>
      </c>
      <c r="W169" s="14">
        <v>632184</v>
      </c>
      <c r="X169" s="14">
        <v>471912</v>
      </c>
      <c r="Y169" s="14">
        <v>507528</v>
      </c>
      <c r="Z169" s="14">
        <v>603246</v>
      </c>
      <c r="AA169" s="14">
        <v>449652</v>
      </c>
      <c r="AB169" s="13">
        <f t="shared" si="5"/>
        <v>6041364</v>
      </c>
    </row>
    <row r="170" spans="1:28" x14ac:dyDescent="0.3">
      <c r="A170" s="11">
        <v>164</v>
      </c>
      <c r="B170" s="12" t="s">
        <v>445</v>
      </c>
      <c r="C170" s="14">
        <v>2126</v>
      </c>
      <c r="D170" s="14">
        <v>1976</v>
      </c>
      <c r="E170" s="14">
        <v>2132</v>
      </c>
      <c r="F170" s="14">
        <v>1943</v>
      </c>
      <c r="G170" s="14">
        <v>1330</v>
      </c>
      <c r="H170" s="14">
        <v>2151</v>
      </c>
      <c r="I170" s="14">
        <v>2127</v>
      </c>
      <c r="J170" s="14">
        <v>1983</v>
      </c>
      <c r="K170" s="14">
        <v>1188</v>
      </c>
      <c r="L170" s="14">
        <v>950</v>
      </c>
      <c r="M170" s="14">
        <v>1233</v>
      </c>
      <c r="N170" s="14">
        <v>2161</v>
      </c>
      <c r="O170" s="13">
        <f t="shared" si="4"/>
        <v>21300</v>
      </c>
      <c r="P170" s="14">
        <v>4405072</v>
      </c>
      <c r="Q170" s="14">
        <v>4094272</v>
      </c>
      <c r="R170" s="14">
        <v>4417504</v>
      </c>
      <c r="S170" s="14">
        <v>4025896</v>
      </c>
      <c r="T170" s="14">
        <v>2755760</v>
      </c>
      <c r="U170" s="14">
        <v>4456872</v>
      </c>
      <c r="V170" s="14">
        <v>4407144</v>
      </c>
      <c r="W170" s="14">
        <v>4108776</v>
      </c>
      <c r="X170" s="14">
        <v>2461536</v>
      </c>
      <c r="Y170" s="14">
        <v>1968400</v>
      </c>
      <c r="Z170" s="14">
        <v>2554776</v>
      </c>
      <c r="AA170" s="14">
        <v>4477592</v>
      </c>
      <c r="AB170" s="13">
        <f t="shared" si="5"/>
        <v>44133600</v>
      </c>
    </row>
    <row r="171" spans="1:28" x14ac:dyDescent="0.3">
      <c r="A171" s="11">
        <v>165</v>
      </c>
      <c r="B171" s="12" t="s">
        <v>432</v>
      </c>
      <c r="C171" s="14">
        <v>2662</v>
      </c>
      <c r="D171" s="14">
        <v>2084</v>
      </c>
      <c r="E171" s="14">
        <v>2123</v>
      </c>
      <c r="F171" s="14">
        <v>2097</v>
      </c>
      <c r="G171" s="14">
        <v>1414</v>
      </c>
      <c r="H171" s="14">
        <v>2482</v>
      </c>
      <c r="I171" s="14">
        <v>2121</v>
      </c>
      <c r="J171" s="14">
        <v>1802</v>
      </c>
      <c r="K171" s="14">
        <v>679</v>
      </c>
      <c r="L171" s="14">
        <v>677</v>
      </c>
      <c r="M171" s="14">
        <v>1357</v>
      </c>
      <c r="N171" s="14">
        <v>2398</v>
      </c>
      <c r="O171" s="13">
        <f t="shared" si="4"/>
        <v>21896</v>
      </c>
      <c r="P171" s="14">
        <v>5515664</v>
      </c>
      <c r="Q171" s="14">
        <v>4318048</v>
      </c>
      <c r="R171" s="14">
        <v>4398856</v>
      </c>
      <c r="S171" s="14">
        <v>4344984</v>
      </c>
      <c r="T171" s="14">
        <v>2929808</v>
      </c>
      <c r="U171" s="14">
        <v>5142704</v>
      </c>
      <c r="V171" s="14">
        <v>4394712</v>
      </c>
      <c r="W171" s="14">
        <v>3733744</v>
      </c>
      <c r="X171" s="14">
        <v>1406888</v>
      </c>
      <c r="Y171" s="14">
        <v>1402744</v>
      </c>
      <c r="Z171" s="14">
        <v>2811704</v>
      </c>
      <c r="AA171" s="14">
        <v>4968656</v>
      </c>
      <c r="AB171" s="13">
        <f t="shared" si="5"/>
        <v>45368512</v>
      </c>
    </row>
    <row r="172" spans="1:28" x14ac:dyDescent="0.3">
      <c r="A172" s="11">
        <v>166</v>
      </c>
      <c r="B172" s="12" t="s">
        <v>231</v>
      </c>
      <c r="C172" s="14">
        <v>264</v>
      </c>
      <c r="D172" s="14">
        <v>279</v>
      </c>
      <c r="E172" s="14">
        <v>306</v>
      </c>
      <c r="F172" s="14">
        <v>451</v>
      </c>
      <c r="G172" s="14">
        <v>340</v>
      </c>
      <c r="H172" s="14">
        <v>457</v>
      </c>
      <c r="I172" s="14">
        <v>403</v>
      </c>
      <c r="J172" s="14">
        <v>421</v>
      </c>
      <c r="K172" s="14">
        <v>423</v>
      </c>
      <c r="L172" s="14">
        <v>421</v>
      </c>
      <c r="M172" s="14">
        <v>423</v>
      </c>
      <c r="N172" s="14">
        <v>516</v>
      </c>
      <c r="O172" s="13">
        <f t="shared" si="4"/>
        <v>4704</v>
      </c>
      <c r="P172" s="14">
        <v>587664</v>
      </c>
      <c r="Q172" s="14">
        <v>621054</v>
      </c>
      <c r="R172" s="14">
        <v>681156</v>
      </c>
      <c r="S172" s="14">
        <v>1003926</v>
      </c>
      <c r="T172" s="14">
        <v>756840</v>
      </c>
      <c r="U172" s="14">
        <v>1017282</v>
      </c>
      <c r="V172" s="14">
        <v>897078</v>
      </c>
      <c r="W172" s="14">
        <v>937146</v>
      </c>
      <c r="X172" s="14">
        <v>941598</v>
      </c>
      <c r="Y172" s="14">
        <v>937146</v>
      </c>
      <c r="Z172" s="14">
        <v>941598</v>
      </c>
      <c r="AA172" s="14">
        <v>1148616</v>
      </c>
      <c r="AB172" s="13">
        <f t="shared" si="5"/>
        <v>10471104</v>
      </c>
    </row>
    <row r="173" spans="1:28" x14ac:dyDescent="0.3">
      <c r="A173" s="11">
        <v>167</v>
      </c>
      <c r="B173" s="12" t="s">
        <v>299</v>
      </c>
      <c r="C173" s="14">
        <v>347</v>
      </c>
      <c r="D173" s="14">
        <v>548</v>
      </c>
      <c r="E173" s="14">
        <v>437</v>
      </c>
      <c r="F173" s="14">
        <v>340</v>
      </c>
      <c r="G173" s="14">
        <v>308</v>
      </c>
      <c r="H173" s="14">
        <v>431</v>
      </c>
      <c r="I173" s="14">
        <v>536</v>
      </c>
      <c r="J173" s="14">
        <v>193</v>
      </c>
      <c r="K173" s="14"/>
      <c r="L173" s="14"/>
      <c r="M173" s="14"/>
      <c r="N173" s="14"/>
      <c r="O173" s="13">
        <f t="shared" si="4"/>
        <v>3140</v>
      </c>
      <c r="P173" s="14">
        <v>718984</v>
      </c>
      <c r="Q173" s="14">
        <v>1135456</v>
      </c>
      <c r="R173" s="14">
        <v>905464</v>
      </c>
      <c r="S173" s="14">
        <v>704480</v>
      </c>
      <c r="T173" s="14">
        <v>638176</v>
      </c>
      <c r="U173" s="14">
        <v>893032</v>
      </c>
      <c r="V173" s="14">
        <v>1110592</v>
      </c>
      <c r="W173" s="14">
        <v>399896</v>
      </c>
      <c r="X173" s="14"/>
      <c r="Y173" s="14"/>
      <c r="Z173" s="14"/>
      <c r="AA173" s="14"/>
      <c r="AB173" s="13">
        <f t="shared" si="5"/>
        <v>6506080</v>
      </c>
    </row>
    <row r="174" spans="1:28" x14ac:dyDescent="0.3">
      <c r="A174" s="11">
        <v>168</v>
      </c>
      <c r="B174" s="12" t="s">
        <v>514</v>
      </c>
      <c r="C174" s="14">
        <v>15</v>
      </c>
      <c r="D174" s="14">
        <v>39</v>
      </c>
      <c r="E174" s="14">
        <v>14</v>
      </c>
      <c r="F174" s="14">
        <v>7</v>
      </c>
      <c r="G174" s="14">
        <v>8</v>
      </c>
      <c r="H174" s="14">
        <v>43</v>
      </c>
      <c r="I174" s="14">
        <v>6</v>
      </c>
      <c r="J174" s="14"/>
      <c r="K174" s="14">
        <v>10</v>
      </c>
      <c r="L174" s="14"/>
      <c r="M174" s="14"/>
      <c r="N174" s="14">
        <v>6</v>
      </c>
      <c r="O174" s="13">
        <f t="shared" si="4"/>
        <v>148</v>
      </c>
      <c r="P174" s="14">
        <v>33390</v>
      </c>
      <c r="Q174" s="14">
        <v>86814</v>
      </c>
      <c r="R174" s="14">
        <v>31164</v>
      </c>
      <c r="S174" s="14">
        <v>15582</v>
      </c>
      <c r="T174" s="14">
        <v>17808</v>
      </c>
      <c r="U174" s="14">
        <v>95718</v>
      </c>
      <c r="V174" s="14">
        <v>13356</v>
      </c>
      <c r="W174" s="14"/>
      <c r="X174" s="14">
        <v>22260</v>
      </c>
      <c r="Y174" s="14"/>
      <c r="Z174" s="14"/>
      <c r="AA174" s="14">
        <v>13356</v>
      </c>
      <c r="AB174" s="13">
        <f t="shared" si="5"/>
        <v>329448</v>
      </c>
    </row>
    <row r="175" spans="1:28" x14ac:dyDescent="0.3">
      <c r="A175" s="11">
        <v>169</v>
      </c>
      <c r="B175" s="12" t="s">
        <v>367</v>
      </c>
      <c r="C175" s="14">
        <v>1727</v>
      </c>
      <c r="D175" s="14">
        <v>2254</v>
      </c>
      <c r="E175" s="14">
        <v>1679</v>
      </c>
      <c r="F175" s="14">
        <v>1560</v>
      </c>
      <c r="G175" s="14">
        <v>1123</v>
      </c>
      <c r="H175" s="14">
        <v>1815</v>
      </c>
      <c r="I175" s="14">
        <v>1955</v>
      </c>
      <c r="J175" s="14">
        <v>1835</v>
      </c>
      <c r="K175" s="14">
        <v>666</v>
      </c>
      <c r="L175" s="14">
        <v>1998</v>
      </c>
      <c r="M175" s="14">
        <v>1895</v>
      </c>
      <c r="N175" s="14">
        <v>1871</v>
      </c>
      <c r="O175" s="13">
        <f t="shared" si="4"/>
        <v>20378</v>
      </c>
      <c r="P175" s="14">
        <v>3578344</v>
      </c>
      <c r="Q175" s="14">
        <v>4670288</v>
      </c>
      <c r="R175" s="14">
        <v>3478888</v>
      </c>
      <c r="S175" s="14">
        <v>3232320</v>
      </c>
      <c r="T175" s="14">
        <v>2326856</v>
      </c>
      <c r="U175" s="14">
        <v>3760680</v>
      </c>
      <c r="V175" s="14">
        <v>4050760</v>
      </c>
      <c r="W175" s="14">
        <v>3802120</v>
      </c>
      <c r="X175" s="14">
        <v>1379952</v>
      </c>
      <c r="Y175" s="14">
        <v>4139856</v>
      </c>
      <c r="Z175" s="14">
        <v>3926440</v>
      </c>
      <c r="AA175" s="14">
        <v>3876712</v>
      </c>
      <c r="AB175" s="13">
        <f t="shared" si="5"/>
        <v>42223216</v>
      </c>
    </row>
    <row r="176" spans="1:28" x14ac:dyDescent="0.3">
      <c r="A176" s="11">
        <v>170</v>
      </c>
      <c r="B176" s="12" t="s">
        <v>402</v>
      </c>
      <c r="C176" s="14">
        <v>2585</v>
      </c>
      <c r="D176" s="14">
        <v>2950</v>
      </c>
      <c r="E176" s="14">
        <v>2509</v>
      </c>
      <c r="F176" s="14">
        <v>1563</v>
      </c>
      <c r="G176" s="14">
        <v>839</v>
      </c>
      <c r="H176" s="14">
        <v>1217</v>
      </c>
      <c r="I176" s="14">
        <v>1182</v>
      </c>
      <c r="J176" s="14">
        <v>947</v>
      </c>
      <c r="K176" s="14">
        <v>1051</v>
      </c>
      <c r="L176" s="14">
        <v>1126</v>
      </c>
      <c r="M176" s="14">
        <v>1061</v>
      </c>
      <c r="N176" s="14">
        <v>982</v>
      </c>
      <c r="O176" s="13">
        <f t="shared" si="4"/>
        <v>18012</v>
      </c>
      <c r="P176" s="14">
        <v>5356120</v>
      </c>
      <c r="Q176" s="14">
        <v>6112400</v>
      </c>
      <c r="R176" s="14">
        <v>5198648</v>
      </c>
      <c r="S176" s="14">
        <v>3238536</v>
      </c>
      <c r="T176" s="14">
        <v>1738408</v>
      </c>
      <c r="U176" s="14">
        <v>2521624</v>
      </c>
      <c r="V176" s="14">
        <v>2449104</v>
      </c>
      <c r="W176" s="14">
        <v>1962184</v>
      </c>
      <c r="X176" s="14">
        <v>2177672</v>
      </c>
      <c r="Y176" s="14">
        <v>2333072</v>
      </c>
      <c r="Z176" s="14">
        <v>2198392</v>
      </c>
      <c r="AA176" s="14">
        <v>2034704</v>
      </c>
      <c r="AB176" s="13">
        <f t="shared" si="5"/>
        <v>37320864</v>
      </c>
    </row>
    <row r="177" spans="1:28" x14ac:dyDescent="0.3">
      <c r="A177" s="11">
        <v>171</v>
      </c>
      <c r="B177" s="12" t="s">
        <v>261</v>
      </c>
      <c r="C177" s="14">
        <v>17</v>
      </c>
      <c r="D177" s="14">
        <v>29</v>
      </c>
      <c r="E177" s="14">
        <v>22</v>
      </c>
      <c r="F177" s="14">
        <v>14</v>
      </c>
      <c r="G177" s="14">
        <v>10</v>
      </c>
      <c r="H177" s="14">
        <v>35</v>
      </c>
      <c r="I177" s="14"/>
      <c r="J177" s="14">
        <v>8</v>
      </c>
      <c r="K177" s="14">
        <v>10</v>
      </c>
      <c r="L177" s="14">
        <v>12</v>
      </c>
      <c r="M177" s="14">
        <v>14</v>
      </c>
      <c r="N177" s="14"/>
      <c r="O177" s="13">
        <f t="shared" si="4"/>
        <v>171</v>
      </c>
      <c r="P177" s="14">
        <v>37842</v>
      </c>
      <c r="Q177" s="14">
        <v>64554</v>
      </c>
      <c r="R177" s="14">
        <v>48972</v>
      </c>
      <c r="S177" s="14">
        <v>31164</v>
      </c>
      <c r="T177" s="14">
        <v>22260</v>
      </c>
      <c r="U177" s="14">
        <v>77910</v>
      </c>
      <c r="V177" s="14"/>
      <c r="W177" s="14">
        <v>17808</v>
      </c>
      <c r="X177" s="14">
        <v>22260</v>
      </c>
      <c r="Y177" s="14">
        <v>26712</v>
      </c>
      <c r="Z177" s="14">
        <v>31164</v>
      </c>
      <c r="AA177" s="14"/>
      <c r="AB177" s="13">
        <f t="shared" si="5"/>
        <v>380646</v>
      </c>
    </row>
    <row r="178" spans="1:28" x14ac:dyDescent="0.3">
      <c r="A178" s="11">
        <v>172</v>
      </c>
      <c r="B178" s="12" t="s">
        <v>431</v>
      </c>
      <c r="C178" s="14">
        <v>4275</v>
      </c>
      <c r="D178" s="14">
        <v>3497</v>
      </c>
      <c r="E178" s="14">
        <v>3924</v>
      </c>
      <c r="F178" s="14">
        <v>3611</v>
      </c>
      <c r="G178" s="14">
        <v>2430</v>
      </c>
      <c r="H178" s="14">
        <v>4083</v>
      </c>
      <c r="I178" s="14">
        <v>3721</v>
      </c>
      <c r="J178" s="14">
        <v>3132</v>
      </c>
      <c r="K178" s="14">
        <v>1378</v>
      </c>
      <c r="L178" s="14">
        <v>1121</v>
      </c>
      <c r="M178" s="14">
        <v>1271</v>
      </c>
      <c r="N178" s="14">
        <v>3159</v>
      </c>
      <c r="O178" s="13">
        <f t="shared" si="4"/>
        <v>35602</v>
      </c>
      <c r="P178" s="14">
        <v>8857800</v>
      </c>
      <c r="Q178" s="14">
        <v>7245784</v>
      </c>
      <c r="R178" s="14">
        <v>8130528</v>
      </c>
      <c r="S178" s="14">
        <v>7481992</v>
      </c>
      <c r="T178" s="14">
        <v>5034960</v>
      </c>
      <c r="U178" s="14">
        <v>8459976</v>
      </c>
      <c r="V178" s="14">
        <v>7709912</v>
      </c>
      <c r="W178" s="14">
        <v>6489504</v>
      </c>
      <c r="X178" s="14">
        <v>2855216</v>
      </c>
      <c r="Y178" s="14">
        <v>2322712</v>
      </c>
      <c r="Z178" s="14">
        <v>2633512</v>
      </c>
      <c r="AA178" s="14">
        <v>6545448</v>
      </c>
      <c r="AB178" s="13">
        <f t="shared" si="5"/>
        <v>73767344</v>
      </c>
    </row>
    <row r="179" spans="1:28" x14ac:dyDescent="0.3">
      <c r="A179" s="11">
        <v>173</v>
      </c>
      <c r="B179" s="12" t="s">
        <v>415</v>
      </c>
      <c r="C179" s="14">
        <v>1511</v>
      </c>
      <c r="D179" s="14">
        <v>1394</v>
      </c>
      <c r="E179" s="14">
        <v>1509</v>
      </c>
      <c r="F179" s="14">
        <v>1471</v>
      </c>
      <c r="G179" s="14">
        <v>921</v>
      </c>
      <c r="H179" s="14">
        <v>1534</v>
      </c>
      <c r="I179" s="14">
        <v>1508</v>
      </c>
      <c r="J179" s="14">
        <v>1323</v>
      </c>
      <c r="K179" s="14">
        <v>693</v>
      </c>
      <c r="L179" s="14">
        <v>483</v>
      </c>
      <c r="M179" s="14">
        <v>1407</v>
      </c>
      <c r="N179" s="14">
        <v>2197</v>
      </c>
      <c r="O179" s="13">
        <f t="shared" si="4"/>
        <v>15951</v>
      </c>
      <c r="P179" s="14">
        <v>3130792</v>
      </c>
      <c r="Q179" s="14">
        <v>2888368</v>
      </c>
      <c r="R179" s="14">
        <v>3126648</v>
      </c>
      <c r="S179" s="14">
        <v>3047912</v>
      </c>
      <c r="T179" s="14">
        <v>1908312</v>
      </c>
      <c r="U179" s="14">
        <v>3178448</v>
      </c>
      <c r="V179" s="14">
        <v>3124576</v>
      </c>
      <c r="W179" s="14">
        <v>2741256</v>
      </c>
      <c r="X179" s="14">
        <v>1435896</v>
      </c>
      <c r="Y179" s="14">
        <v>1000776</v>
      </c>
      <c r="Z179" s="14">
        <v>2915304</v>
      </c>
      <c r="AA179" s="14">
        <v>4552184</v>
      </c>
      <c r="AB179" s="13">
        <f t="shared" si="5"/>
        <v>33050472</v>
      </c>
    </row>
    <row r="180" spans="1:28" x14ac:dyDescent="0.3">
      <c r="A180" s="11">
        <v>174</v>
      </c>
      <c r="B180" s="12" t="s">
        <v>457</v>
      </c>
      <c r="C180" s="14">
        <v>6017</v>
      </c>
      <c r="D180" s="14">
        <v>5063</v>
      </c>
      <c r="E180" s="14">
        <v>5316</v>
      </c>
      <c r="F180" s="14">
        <v>4642</v>
      </c>
      <c r="G180" s="14">
        <v>3092</v>
      </c>
      <c r="H180" s="14">
        <v>5037</v>
      </c>
      <c r="I180" s="14">
        <v>4604</v>
      </c>
      <c r="J180" s="14">
        <v>2485</v>
      </c>
      <c r="K180" s="14">
        <v>994</v>
      </c>
      <c r="L180" s="14">
        <v>733</v>
      </c>
      <c r="M180" s="14">
        <v>1047</v>
      </c>
      <c r="N180" s="14">
        <v>4471</v>
      </c>
      <c r="O180" s="13">
        <f t="shared" si="4"/>
        <v>43501</v>
      </c>
      <c r="P180" s="14">
        <v>12467224</v>
      </c>
      <c r="Q180" s="14">
        <v>10490536</v>
      </c>
      <c r="R180" s="14">
        <v>11014752</v>
      </c>
      <c r="S180" s="14">
        <v>9618224</v>
      </c>
      <c r="T180" s="14">
        <v>6406624</v>
      </c>
      <c r="U180" s="14">
        <v>10436664</v>
      </c>
      <c r="V180" s="14">
        <v>9539488</v>
      </c>
      <c r="W180" s="14">
        <v>5148920</v>
      </c>
      <c r="X180" s="14">
        <v>2059568</v>
      </c>
      <c r="Y180" s="14">
        <v>1518776</v>
      </c>
      <c r="Z180" s="14">
        <v>2169384</v>
      </c>
      <c r="AA180" s="14">
        <v>9263912</v>
      </c>
      <c r="AB180" s="13">
        <f t="shared" si="5"/>
        <v>90134072</v>
      </c>
    </row>
    <row r="181" spans="1:28" x14ac:dyDescent="0.3">
      <c r="A181" s="11">
        <v>175</v>
      </c>
      <c r="B181" s="12" t="s">
        <v>468</v>
      </c>
      <c r="C181" s="14">
        <v>5991</v>
      </c>
      <c r="D181" s="14">
        <v>5177</v>
      </c>
      <c r="E181" s="14">
        <v>5581</v>
      </c>
      <c r="F181" s="14">
        <v>5562</v>
      </c>
      <c r="G181" s="14">
        <v>3762</v>
      </c>
      <c r="H181" s="14">
        <v>5580</v>
      </c>
      <c r="I181" s="14">
        <v>5443</v>
      </c>
      <c r="J181" s="14">
        <v>4630</v>
      </c>
      <c r="K181" s="14">
        <v>2846</v>
      </c>
      <c r="L181" s="14">
        <v>2084</v>
      </c>
      <c r="M181" s="14">
        <v>2579</v>
      </c>
      <c r="N181" s="14">
        <v>5383</v>
      </c>
      <c r="O181" s="13">
        <f t="shared" si="4"/>
        <v>54618</v>
      </c>
      <c r="P181" s="14">
        <v>12413352</v>
      </c>
      <c r="Q181" s="14">
        <v>10726744</v>
      </c>
      <c r="R181" s="14">
        <v>11563832</v>
      </c>
      <c r="S181" s="14">
        <v>11524464</v>
      </c>
      <c r="T181" s="14">
        <v>7794864</v>
      </c>
      <c r="U181" s="14">
        <v>11561760</v>
      </c>
      <c r="V181" s="14">
        <v>11277896</v>
      </c>
      <c r="W181" s="14">
        <v>9593360</v>
      </c>
      <c r="X181" s="14">
        <v>5896912</v>
      </c>
      <c r="Y181" s="14">
        <v>4318048</v>
      </c>
      <c r="Z181" s="14">
        <v>5343688</v>
      </c>
      <c r="AA181" s="14">
        <v>11153576</v>
      </c>
      <c r="AB181" s="13">
        <f t="shared" si="5"/>
        <v>113168496</v>
      </c>
    </row>
    <row r="182" spans="1:28" x14ac:dyDescent="0.3">
      <c r="A182" s="11">
        <v>176</v>
      </c>
      <c r="B182" s="12" t="s">
        <v>241</v>
      </c>
      <c r="C182" s="14">
        <v>224</v>
      </c>
      <c r="D182" s="14">
        <v>8</v>
      </c>
      <c r="E182" s="14"/>
      <c r="F182" s="14">
        <v>9</v>
      </c>
      <c r="G182" s="14">
        <v>11</v>
      </c>
      <c r="H182" s="14"/>
      <c r="I182" s="14"/>
      <c r="J182" s="14"/>
      <c r="K182" s="14"/>
      <c r="L182" s="14">
        <v>8</v>
      </c>
      <c r="M182" s="14">
        <v>11</v>
      </c>
      <c r="N182" s="14">
        <v>48</v>
      </c>
      <c r="O182" s="13">
        <f t="shared" si="4"/>
        <v>319</v>
      </c>
      <c r="P182" s="14">
        <v>498624</v>
      </c>
      <c r="Q182" s="14">
        <v>17808</v>
      </c>
      <c r="R182" s="14"/>
      <c r="S182" s="14">
        <v>20034</v>
      </c>
      <c r="T182" s="14">
        <v>24486</v>
      </c>
      <c r="U182" s="14"/>
      <c r="V182" s="14"/>
      <c r="W182" s="14"/>
      <c r="X182" s="14"/>
      <c r="Y182" s="14">
        <v>17808</v>
      </c>
      <c r="Z182" s="14">
        <v>24486</v>
      </c>
      <c r="AA182" s="14">
        <v>106848</v>
      </c>
      <c r="AB182" s="13">
        <f t="shared" si="5"/>
        <v>710094</v>
      </c>
    </row>
    <row r="183" spans="1:28" x14ac:dyDescent="0.3">
      <c r="A183" s="11">
        <v>177</v>
      </c>
      <c r="B183" s="12" t="s">
        <v>365</v>
      </c>
      <c r="C183" s="14">
        <v>417</v>
      </c>
      <c r="D183" s="14">
        <v>588</v>
      </c>
      <c r="E183" s="14">
        <v>533</v>
      </c>
      <c r="F183" s="14">
        <v>506</v>
      </c>
      <c r="G183" s="14">
        <v>366</v>
      </c>
      <c r="H183" s="14">
        <v>550</v>
      </c>
      <c r="I183" s="14">
        <v>531</v>
      </c>
      <c r="J183" s="14">
        <v>395</v>
      </c>
      <c r="K183" s="14">
        <v>93</v>
      </c>
      <c r="L183" s="14">
        <v>103</v>
      </c>
      <c r="M183" s="14">
        <v>385</v>
      </c>
      <c r="N183" s="14">
        <v>423</v>
      </c>
      <c r="O183" s="13">
        <f t="shared" si="4"/>
        <v>4890</v>
      </c>
      <c r="P183" s="14">
        <v>864024</v>
      </c>
      <c r="Q183" s="14">
        <v>1218336</v>
      </c>
      <c r="R183" s="14">
        <v>1104376</v>
      </c>
      <c r="S183" s="14">
        <v>1048432</v>
      </c>
      <c r="T183" s="14">
        <v>758352</v>
      </c>
      <c r="U183" s="14">
        <v>1139600</v>
      </c>
      <c r="V183" s="14">
        <v>1100232</v>
      </c>
      <c r="W183" s="14">
        <v>818440</v>
      </c>
      <c r="X183" s="14">
        <v>192696</v>
      </c>
      <c r="Y183" s="14">
        <v>213416</v>
      </c>
      <c r="Z183" s="14">
        <v>797720</v>
      </c>
      <c r="AA183" s="14">
        <v>876456</v>
      </c>
      <c r="AB183" s="13">
        <f t="shared" si="5"/>
        <v>10132080</v>
      </c>
    </row>
    <row r="184" spans="1:28" x14ac:dyDescent="0.3">
      <c r="A184" s="11">
        <v>178</v>
      </c>
      <c r="B184" s="12" t="s">
        <v>366</v>
      </c>
      <c r="C184" s="14">
        <v>271</v>
      </c>
      <c r="D184" s="14">
        <v>357</v>
      </c>
      <c r="E184" s="14">
        <v>272</v>
      </c>
      <c r="F184" s="14">
        <v>256</v>
      </c>
      <c r="G184" s="14">
        <v>157</v>
      </c>
      <c r="H184" s="14">
        <v>240</v>
      </c>
      <c r="I184" s="14">
        <v>241</v>
      </c>
      <c r="J184" s="14">
        <v>215</v>
      </c>
      <c r="K184" s="14">
        <v>29</v>
      </c>
      <c r="L184" s="14">
        <v>30</v>
      </c>
      <c r="M184" s="14">
        <v>101</v>
      </c>
      <c r="N184" s="14">
        <v>219</v>
      </c>
      <c r="O184" s="13">
        <f t="shared" si="4"/>
        <v>2388</v>
      </c>
      <c r="P184" s="14">
        <v>561512</v>
      </c>
      <c r="Q184" s="14">
        <v>739704</v>
      </c>
      <c r="R184" s="14">
        <v>563584</v>
      </c>
      <c r="S184" s="14">
        <v>530432</v>
      </c>
      <c r="T184" s="14">
        <v>325304</v>
      </c>
      <c r="U184" s="14">
        <v>497280</v>
      </c>
      <c r="V184" s="14">
        <v>499352</v>
      </c>
      <c r="W184" s="14">
        <v>445480</v>
      </c>
      <c r="X184" s="14">
        <v>60088</v>
      </c>
      <c r="Y184" s="14">
        <v>62160</v>
      </c>
      <c r="Z184" s="14">
        <v>209272</v>
      </c>
      <c r="AA184" s="14">
        <v>453768</v>
      </c>
      <c r="AB184" s="13">
        <f t="shared" si="5"/>
        <v>4947936</v>
      </c>
    </row>
    <row r="185" spans="1:28" x14ac:dyDescent="0.3">
      <c r="A185" s="11">
        <v>179</v>
      </c>
      <c r="B185" s="12" t="s">
        <v>227</v>
      </c>
      <c r="C185" s="14">
        <v>473</v>
      </c>
      <c r="D185" s="14">
        <v>493</v>
      </c>
      <c r="E185" s="14">
        <v>328</v>
      </c>
      <c r="F185" s="14">
        <v>311</v>
      </c>
      <c r="G185" s="14">
        <v>273</v>
      </c>
      <c r="H185" s="14">
        <v>325</v>
      </c>
      <c r="I185" s="14">
        <v>551</v>
      </c>
      <c r="J185" s="14">
        <v>461</v>
      </c>
      <c r="K185" s="14">
        <v>354</v>
      </c>
      <c r="L185" s="14">
        <v>411</v>
      </c>
      <c r="M185" s="14">
        <v>376</v>
      </c>
      <c r="N185" s="14">
        <v>333</v>
      </c>
      <c r="O185" s="13">
        <f t="shared" si="4"/>
        <v>4689</v>
      </c>
      <c r="P185" s="14">
        <v>1052898</v>
      </c>
      <c r="Q185" s="14">
        <v>1097418</v>
      </c>
      <c r="R185" s="14">
        <v>730128</v>
      </c>
      <c r="S185" s="14">
        <v>692286</v>
      </c>
      <c r="T185" s="14">
        <v>607698</v>
      </c>
      <c r="U185" s="14">
        <v>723450</v>
      </c>
      <c r="V185" s="14">
        <v>1226526</v>
      </c>
      <c r="W185" s="14">
        <v>1026186</v>
      </c>
      <c r="X185" s="14">
        <v>788004</v>
      </c>
      <c r="Y185" s="14">
        <v>914886</v>
      </c>
      <c r="Z185" s="14">
        <v>836976</v>
      </c>
      <c r="AA185" s="14">
        <v>741258</v>
      </c>
      <c r="AB185" s="13">
        <f t="shared" si="5"/>
        <v>10437714</v>
      </c>
    </row>
    <row r="186" spans="1:28" x14ac:dyDescent="0.3">
      <c r="A186" s="11">
        <v>180</v>
      </c>
      <c r="B186" s="12" t="s">
        <v>483</v>
      </c>
      <c r="C186" s="14">
        <v>2126</v>
      </c>
      <c r="D186" s="14">
        <v>1915</v>
      </c>
      <c r="E186" s="14">
        <v>2429</v>
      </c>
      <c r="F186" s="14">
        <v>2052</v>
      </c>
      <c r="G186" s="14">
        <v>2173</v>
      </c>
      <c r="H186" s="14">
        <v>3576</v>
      </c>
      <c r="I186" s="14">
        <v>4053</v>
      </c>
      <c r="J186" s="14">
        <v>4335</v>
      </c>
      <c r="K186" s="14">
        <v>4611</v>
      </c>
      <c r="L186" s="14">
        <v>3592</v>
      </c>
      <c r="M186" s="14">
        <v>3283</v>
      </c>
      <c r="N186" s="14">
        <v>6510</v>
      </c>
      <c r="O186" s="13">
        <f t="shared" si="4"/>
        <v>40655</v>
      </c>
      <c r="P186" s="14">
        <v>4732476</v>
      </c>
      <c r="Q186" s="14">
        <v>4262790</v>
      </c>
      <c r="R186" s="14">
        <v>5406954</v>
      </c>
      <c r="S186" s="14">
        <v>4567752</v>
      </c>
      <c r="T186" s="14">
        <v>4837098</v>
      </c>
      <c r="U186" s="14">
        <v>7960176</v>
      </c>
      <c r="V186" s="14">
        <v>9021978</v>
      </c>
      <c r="W186" s="14">
        <v>9649710</v>
      </c>
      <c r="X186" s="14">
        <v>10264086</v>
      </c>
      <c r="Y186" s="14">
        <v>7995792</v>
      </c>
      <c r="Z186" s="14">
        <v>7307958</v>
      </c>
      <c r="AA186" s="14">
        <v>14491260</v>
      </c>
      <c r="AB186" s="13">
        <f t="shared" si="5"/>
        <v>90498030</v>
      </c>
    </row>
    <row r="187" spans="1:28" x14ac:dyDescent="0.3">
      <c r="A187" s="11">
        <v>181</v>
      </c>
      <c r="B187" s="12" t="s">
        <v>336</v>
      </c>
      <c r="C187" s="14">
        <v>72</v>
      </c>
      <c r="D187" s="14">
        <v>130</v>
      </c>
      <c r="E187" s="14">
        <v>86</v>
      </c>
      <c r="F187" s="14">
        <v>109</v>
      </c>
      <c r="G187" s="14">
        <v>103</v>
      </c>
      <c r="H187" s="14">
        <v>129</v>
      </c>
      <c r="I187" s="14">
        <v>80</v>
      </c>
      <c r="J187" s="14">
        <v>97</v>
      </c>
      <c r="K187" s="14">
        <v>72</v>
      </c>
      <c r="L187" s="14">
        <v>101</v>
      </c>
      <c r="M187" s="14">
        <v>177</v>
      </c>
      <c r="N187" s="14">
        <v>124</v>
      </c>
      <c r="O187" s="13">
        <f t="shared" si="4"/>
        <v>1280</v>
      </c>
      <c r="P187" s="14">
        <v>160272</v>
      </c>
      <c r="Q187" s="14">
        <v>289380</v>
      </c>
      <c r="R187" s="14">
        <v>191436</v>
      </c>
      <c r="S187" s="14">
        <v>242634</v>
      </c>
      <c r="T187" s="14">
        <v>229278</v>
      </c>
      <c r="U187" s="14">
        <v>287154</v>
      </c>
      <c r="V187" s="14">
        <v>178080</v>
      </c>
      <c r="W187" s="14">
        <v>215922</v>
      </c>
      <c r="X187" s="14">
        <v>160272</v>
      </c>
      <c r="Y187" s="14">
        <v>224826</v>
      </c>
      <c r="Z187" s="14">
        <v>394002</v>
      </c>
      <c r="AA187" s="14">
        <v>276024</v>
      </c>
      <c r="AB187" s="13">
        <f t="shared" si="5"/>
        <v>2849280</v>
      </c>
    </row>
    <row r="188" spans="1:28" x14ac:dyDescent="0.3">
      <c r="A188" s="11">
        <v>182</v>
      </c>
      <c r="B188" s="12" t="s">
        <v>437</v>
      </c>
      <c r="C188" s="14">
        <v>4031</v>
      </c>
      <c r="D188" s="14">
        <v>3154</v>
      </c>
      <c r="E188" s="14">
        <v>3617</v>
      </c>
      <c r="F188" s="14">
        <v>3240</v>
      </c>
      <c r="G188" s="14">
        <v>2328</v>
      </c>
      <c r="H188" s="14">
        <v>3922</v>
      </c>
      <c r="I188" s="14">
        <v>3635</v>
      </c>
      <c r="J188" s="14">
        <v>2573</v>
      </c>
      <c r="K188" s="14">
        <v>1000</v>
      </c>
      <c r="L188" s="14">
        <v>1192</v>
      </c>
      <c r="M188" s="14">
        <v>1441</v>
      </c>
      <c r="N188" s="14">
        <v>3663</v>
      </c>
      <c r="O188" s="13">
        <f t="shared" si="4"/>
        <v>33796</v>
      </c>
      <c r="P188" s="14">
        <v>8352232</v>
      </c>
      <c r="Q188" s="14">
        <v>6535088</v>
      </c>
      <c r="R188" s="14">
        <v>7494424</v>
      </c>
      <c r="S188" s="14">
        <v>6713280</v>
      </c>
      <c r="T188" s="14">
        <v>4823616</v>
      </c>
      <c r="U188" s="14">
        <v>8126384</v>
      </c>
      <c r="V188" s="14">
        <v>7531720</v>
      </c>
      <c r="W188" s="14">
        <v>5331256</v>
      </c>
      <c r="X188" s="14">
        <v>2072000</v>
      </c>
      <c r="Y188" s="14">
        <v>2469824</v>
      </c>
      <c r="Z188" s="14">
        <v>2985752</v>
      </c>
      <c r="AA188" s="14">
        <v>7589736</v>
      </c>
      <c r="AB188" s="13">
        <f t="shared" si="5"/>
        <v>70025312</v>
      </c>
    </row>
    <row r="189" spans="1:28" x14ac:dyDescent="0.3">
      <c r="A189" s="11">
        <v>183</v>
      </c>
      <c r="B189" s="12" t="s">
        <v>350</v>
      </c>
      <c r="C189" s="14">
        <v>1530</v>
      </c>
      <c r="D189" s="14">
        <v>1335</v>
      </c>
      <c r="E189" s="14">
        <v>1379</v>
      </c>
      <c r="F189" s="14">
        <v>968</v>
      </c>
      <c r="G189" s="14">
        <v>895</v>
      </c>
      <c r="H189" s="14">
        <v>1203</v>
      </c>
      <c r="I189" s="14">
        <v>1275</v>
      </c>
      <c r="J189" s="14">
        <v>1339</v>
      </c>
      <c r="K189" s="14">
        <v>1122</v>
      </c>
      <c r="L189" s="14">
        <v>1056</v>
      </c>
      <c r="M189" s="14">
        <v>1089</v>
      </c>
      <c r="N189" s="14">
        <v>990</v>
      </c>
      <c r="O189" s="13">
        <f t="shared" si="4"/>
        <v>14181</v>
      </c>
      <c r="P189" s="14">
        <v>3170160</v>
      </c>
      <c r="Q189" s="14">
        <v>2766120</v>
      </c>
      <c r="R189" s="14">
        <v>2857288</v>
      </c>
      <c r="S189" s="14">
        <v>2005696</v>
      </c>
      <c r="T189" s="14">
        <v>1854440</v>
      </c>
      <c r="U189" s="14">
        <v>2492616</v>
      </c>
      <c r="V189" s="14">
        <v>2641800</v>
      </c>
      <c r="W189" s="14">
        <v>2774408</v>
      </c>
      <c r="X189" s="14">
        <v>2324784</v>
      </c>
      <c r="Y189" s="14">
        <v>2188032</v>
      </c>
      <c r="Z189" s="14">
        <v>2256408</v>
      </c>
      <c r="AA189" s="14">
        <v>2051280</v>
      </c>
      <c r="AB189" s="13">
        <f t="shared" si="5"/>
        <v>29383032</v>
      </c>
    </row>
    <row r="190" spans="1:28" x14ac:dyDescent="0.3">
      <c r="A190" s="11">
        <v>184</v>
      </c>
      <c r="B190" s="12" t="s">
        <v>322</v>
      </c>
      <c r="C190" s="14">
        <v>2839</v>
      </c>
      <c r="D190" s="14">
        <v>768</v>
      </c>
      <c r="E190" s="14">
        <v>1449</v>
      </c>
      <c r="F190" s="14">
        <v>890</v>
      </c>
      <c r="G190" s="14">
        <v>956</v>
      </c>
      <c r="H190" s="14">
        <v>1063</v>
      </c>
      <c r="I190" s="14">
        <v>2982</v>
      </c>
      <c r="J190" s="14">
        <v>2303</v>
      </c>
      <c r="K190" s="14">
        <v>3417</v>
      </c>
      <c r="L190" s="14">
        <v>1874</v>
      </c>
      <c r="M190" s="14">
        <v>1228</v>
      </c>
      <c r="N190" s="14">
        <v>300</v>
      </c>
      <c r="O190" s="13">
        <f t="shared" si="4"/>
        <v>20069</v>
      </c>
      <c r="P190" s="14">
        <v>6319614</v>
      </c>
      <c r="Q190" s="14">
        <v>1709568</v>
      </c>
      <c r="R190" s="14">
        <v>3225474</v>
      </c>
      <c r="S190" s="14">
        <v>1981140</v>
      </c>
      <c r="T190" s="14">
        <v>2128056</v>
      </c>
      <c r="U190" s="14">
        <v>2366238</v>
      </c>
      <c r="V190" s="14">
        <v>6637932</v>
      </c>
      <c r="W190" s="14">
        <v>5126478</v>
      </c>
      <c r="X190" s="14">
        <v>7606242</v>
      </c>
      <c r="Y190" s="14">
        <v>4171524</v>
      </c>
      <c r="Z190" s="14">
        <v>2733528</v>
      </c>
      <c r="AA190" s="14">
        <v>667800</v>
      </c>
      <c r="AB190" s="13">
        <f t="shared" si="5"/>
        <v>44673594</v>
      </c>
    </row>
    <row r="191" spans="1:28" x14ac:dyDescent="0.3">
      <c r="A191" s="11">
        <v>185</v>
      </c>
      <c r="B191" s="12" t="s">
        <v>466</v>
      </c>
      <c r="C191" s="14">
        <v>2005</v>
      </c>
      <c r="D191" s="14">
        <v>1846</v>
      </c>
      <c r="E191" s="14">
        <v>1836</v>
      </c>
      <c r="F191" s="14">
        <v>1834</v>
      </c>
      <c r="G191" s="14">
        <v>1609</v>
      </c>
      <c r="H191" s="14">
        <v>2878</v>
      </c>
      <c r="I191" s="14">
        <v>2066</v>
      </c>
      <c r="J191" s="14">
        <v>1530</v>
      </c>
      <c r="K191" s="14">
        <v>528</v>
      </c>
      <c r="L191" s="14">
        <v>421</v>
      </c>
      <c r="M191" s="14">
        <v>541</v>
      </c>
      <c r="N191" s="14">
        <v>1848</v>
      </c>
      <c r="O191" s="13">
        <f t="shared" si="4"/>
        <v>18942</v>
      </c>
      <c r="P191" s="14">
        <v>4154360</v>
      </c>
      <c r="Q191" s="14">
        <v>3824912</v>
      </c>
      <c r="R191" s="14">
        <v>3804192</v>
      </c>
      <c r="S191" s="14">
        <v>3800048</v>
      </c>
      <c r="T191" s="14">
        <v>3333848</v>
      </c>
      <c r="U191" s="14">
        <v>5963216</v>
      </c>
      <c r="V191" s="14">
        <v>4280752</v>
      </c>
      <c r="W191" s="14">
        <v>3170160</v>
      </c>
      <c r="X191" s="14">
        <v>1094016</v>
      </c>
      <c r="Y191" s="14">
        <v>872312</v>
      </c>
      <c r="Z191" s="14">
        <v>1120952</v>
      </c>
      <c r="AA191" s="14">
        <v>3829056</v>
      </c>
      <c r="AB191" s="13">
        <f t="shared" si="5"/>
        <v>39247824</v>
      </c>
    </row>
    <row r="192" spans="1:28" x14ac:dyDescent="0.3">
      <c r="A192" s="11">
        <v>186</v>
      </c>
      <c r="B192" s="12" t="s">
        <v>407</v>
      </c>
      <c r="C192" s="14">
        <v>1214</v>
      </c>
      <c r="D192" s="14">
        <v>936</v>
      </c>
      <c r="E192" s="14">
        <v>1037</v>
      </c>
      <c r="F192" s="14">
        <v>921</v>
      </c>
      <c r="G192" s="14">
        <v>667</v>
      </c>
      <c r="H192" s="14">
        <v>1194</v>
      </c>
      <c r="I192" s="14">
        <v>1178</v>
      </c>
      <c r="J192" s="14">
        <v>914</v>
      </c>
      <c r="K192" s="14">
        <v>483</v>
      </c>
      <c r="L192" s="14">
        <v>340</v>
      </c>
      <c r="M192" s="14">
        <v>400</v>
      </c>
      <c r="N192" s="14">
        <v>880</v>
      </c>
      <c r="O192" s="13">
        <f t="shared" si="4"/>
        <v>10164</v>
      </c>
      <c r="P192" s="14">
        <v>2515408</v>
      </c>
      <c r="Q192" s="14">
        <v>1939392</v>
      </c>
      <c r="R192" s="14">
        <v>2148664</v>
      </c>
      <c r="S192" s="14">
        <v>1908312</v>
      </c>
      <c r="T192" s="14">
        <v>1382024</v>
      </c>
      <c r="U192" s="14">
        <v>2473968</v>
      </c>
      <c r="V192" s="14">
        <v>2440816</v>
      </c>
      <c r="W192" s="14">
        <v>1893808</v>
      </c>
      <c r="X192" s="14">
        <v>1000776</v>
      </c>
      <c r="Y192" s="14">
        <v>704480</v>
      </c>
      <c r="Z192" s="14">
        <v>828800</v>
      </c>
      <c r="AA192" s="14">
        <v>1823360</v>
      </c>
      <c r="AB192" s="13">
        <f t="shared" si="5"/>
        <v>21059808</v>
      </c>
    </row>
    <row r="193" spans="1:28" x14ac:dyDescent="0.3">
      <c r="A193" s="11">
        <v>187</v>
      </c>
      <c r="B193" s="12" t="s">
        <v>308</v>
      </c>
      <c r="C193" s="14">
        <v>473</v>
      </c>
      <c r="D193" s="14">
        <v>569</v>
      </c>
      <c r="E193" s="14">
        <v>509</v>
      </c>
      <c r="F193" s="14">
        <v>456</v>
      </c>
      <c r="G193" s="14">
        <v>430</v>
      </c>
      <c r="H193" s="14">
        <v>460</v>
      </c>
      <c r="I193" s="14">
        <v>515</v>
      </c>
      <c r="J193" s="14">
        <v>602</v>
      </c>
      <c r="K193" s="14">
        <v>517</v>
      </c>
      <c r="L193" s="14">
        <v>523</v>
      </c>
      <c r="M193" s="14">
        <v>517</v>
      </c>
      <c r="N193" s="14">
        <v>538</v>
      </c>
      <c r="O193" s="13">
        <f t="shared" si="4"/>
        <v>6109</v>
      </c>
      <c r="P193" s="14">
        <v>980056</v>
      </c>
      <c r="Q193" s="14">
        <v>1178968</v>
      </c>
      <c r="R193" s="14">
        <v>1054648</v>
      </c>
      <c r="S193" s="14">
        <v>944832</v>
      </c>
      <c r="T193" s="14">
        <v>890960</v>
      </c>
      <c r="U193" s="14">
        <v>953120</v>
      </c>
      <c r="V193" s="14">
        <v>1067080</v>
      </c>
      <c r="W193" s="14">
        <v>1247344</v>
      </c>
      <c r="X193" s="14">
        <v>1071224</v>
      </c>
      <c r="Y193" s="14">
        <v>1083656</v>
      </c>
      <c r="Z193" s="14">
        <v>1071224</v>
      </c>
      <c r="AA193" s="14">
        <v>1114736</v>
      </c>
      <c r="AB193" s="13">
        <f t="shared" si="5"/>
        <v>12657848</v>
      </c>
    </row>
    <row r="194" spans="1:28" x14ac:dyDescent="0.3">
      <c r="A194" s="11">
        <v>188</v>
      </c>
      <c r="B194" s="12" t="s">
        <v>278</v>
      </c>
      <c r="C194" s="14">
        <v>320</v>
      </c>
      <c r="D194" s="14">
        <v>305</v>
      </c>
      <c r="E194" s="14">
        <v>300</v>
      </c>
      <c r="F194" s="14">
        <v>259</v>
      </c>
      <c r="G194" s="14">
        <v>252</v>
      </c>
      <c r="H194" s="14">
        <v>315</v>
      </c>
      <c r="I194" s="14">
        <v>389</v>
      </c>
      <c r="J194" s="14">
        <v>404</v>
      </c>
      <c r="K194" s="14">
        <v>421</v>
      </c>
      <c r="L194" s="14">
        <v>329</v>
      </c>
      <c r="M194" s="14">
        <v>298</v>
      </c>
      <c r="N194" s="14">
        <v>284</v>
      </c>
      <c r="O194" s="13">
        <f t="shared" si="4"/>
        <v>3876</v>
      </c>
      <c r="P194" s="14">
        <v>712320</v>
      </c>
      <c r="Q194" s="14">
        <v>678930</v>
      </c>
      <c r="R194" s="14">
        <v>667800</v>
      </c>
      <c r="S194" s="14">
        <v>576534</v>
      </c>
      <c r="T194" s="14">
        <v>560952</v>
      </c>
      <c r="U194" s="14">
        <v>701190</v>
      </c>
      <c r="V194" s="14">
        <v>865914</v>
      </c>
      <c r="W194" s="14">
        <v>899304</v>
      </c>
      <c r="X194" s="14">
        <v>937146</v>
      </c>
      <c r="Y194" s="14">
        <v>732354</v>
      </c>
      <c r="Z194" s="14">
        <v>663348</v>
      </c>
      <c r="AA194" s="14">
        <v>632184</v>
      </c>
      <c r="AB194" s="13">
        <f t="shared" si="5"/>
        <v>8627976</v>
      </c>
    </row>
    <row r="195" spans="1:28" x14ac:dyDescent="0.3">
      <c r="A195" s="11">
        <v>189</v>
      </c>
      <c r="B195" s="12" t="s">
        <v>306</v>
      </c>
      <c r="C195" s="14">
        <v>575</v>
      </c>
      <c r="D195" s="14">
        <v>635</v>
      </c>
      <c r="E195" s="14">
        <v>627</v>
      </c>
      <c r="F195" s="14">
        <v>688</v>
      </c>
      <c r="G195" s="14">
        <v>615</v>
      </c>
      <c r="H195" s="14">
        <v>648</v>
      </c>
      <c r="I195" s="14">
        <v>708</v>
      </c>
      <c r="J195" s="14">
        <v>731</v>
      </c>
      <c r="K195" s="14">
        <v>1582</v>
      </c>
      <c r="L195" s="14">
        <v>2195</v>
      </c>
      <c r="M195" s="14">
        <v>1972</v>
      </c>
      <c r="N195" s="14">
        <v>1773</v>
      </c>
      <c r="O195" s="13">
        <f t="shared" si="4"/>
        <v>12749</v>
      </c>
      <c r="P195" s="14">
        <v>1191400</v>
      </c>
      <c r="Q195" s="14">
        <v>1315720</v>
      </c>
      <c r="R195" s="14">
        <v>1299144</v>
      </c>
      <c r="S195" s="14">
        <v>1425536</v>
      </c>
      <c r="T195" s="14">
        <v>1274280</v>
      </c>
      <c r="U195" s="14">
        <v>1342656</v>
      </c>
      <c r="V195" s="14">
        <v>1466976</v>
      </c>
      <c r="W195" s="14">
        <v>1514632</v>
      </c>
      <c r="X195" s="14">
        <v>3277904</v>
      </c>
      <c r="Y195" s="14">
        <v>4548040</v>
      </c>
      <c r="Z195" s="14">
        <v>4085984</v>
      </c>
      <c r="AA195" s="14">
        <v>3673656</v>
      </c>
      <c r="AB195" s="13">
        <f t="shared" si="5"/>
        <v>26415928</v>
      </c>
    </row>
    <row r="196" spans="1:28" x14ac:dyDescent="0.3">
      <c r="A196" s="11">
        <v>190</v>
      </c>
      <c r="B196" s="12" t="s">
        <v>425</v>
      </c>
      <c r="C196" s="14">
        <v>1788</v>
      </c>
      <c r="D196" s="14">
        <v>1568</v>
      </c>
      <c r="E196" s="14">
        <v>1743</v>
      </c>
      <c r="F196" s="14">
        <v>1380</v>
      </c>
      <c r="G196" s="14">
        <v>1039</v>
      </c>
      <c r="H196" s="14">
        <v>1796</v>
      </c>
      <c r="I196" s="14">
        <v>1968</v>
      </c>
      <c r="J196" s="14">
        <v>1211</v>
      </c>
      <c r="K196" s="14">
        <v>559</v>
      </c>
      <c r="L196" s="14">
        <v>704</v>
      </c>
      <c r="M196" s="14">
        <v>924</v>
      </c>
      <c r="N196" s="14">
        <v>1648</v>
      </c>
      <c r="O196" s="13">
        <f t="shared" si="4"/>
        <v>16328</v>
      </c>
      <c r="P196" s="14">
        <v>3704736</v>
      </c>
      <c r="Q196" s="14">
        <v>3248896</v>
      </c>
      <c r="R196" s="14">
        <v>3611496</v>
      </c>
      <c r="S196" s="14">
        <v>2859360</v>
      </c>
      <c r="T196" s="14">
        <v>2152808</v>
      </c>
      <c r="U196" s="14">
        <v>3721312</v>
      </c>
      <c r="V196" s="14">
        <v>4077696</v>
      </c>
      <c r="W196" s="14">
        <v>2509192</v>
      </c>
      <c r="X196" s="14">
        <v>1158248</v>
      </c>
      <c r="Y196" s="14">
        <v>1458688</v>
      </c>
      <c r="Z196" s="14">
        <v>1914528</v>
      </c>
      <c r="AA196" s="14">
        <v>3414656</v>
      </c>
      <c r="AB196" s="13">
        <f t="shared" si="5"/>
        <v>33831616</v>
      </c>
    </row>
    <row r="197" spans="1:28" x14ac:dyDescent="0.3">
      <c r="A197" s="11">
        <v>191</v>
      </c>
      <c r="B197" s="12" t="s">
        <v>327</v>
      </c>
      <c r="C197" s="14">
        <v>555</v>
      </c>
      <c r="D197" s="14">
        <v>790</v>
      </c>
      <c r="E197" s="14">
        <v>755</v>
      </c>
      <c r="F197" s="14">
        <v>735</v>
      </c>
      <c r="G197" s="14">
        <v>599</v>
      </c>
      <c r="H197" s="14">
        <v>763</v>
      </c>
      <c r="I197" s="14">
        <v>1031</v>
      </c>
      <c r="J197" s="14">
        <v>759</v>
      </c>
      <c r="K197" s="14">
        <v>791</v>
      </c>
      <c r="L197" s="14">
        <v>736</v>
      </c>
      <c r="M197" s="14">
        <v>1099</v>
      </c>
      <c r="N197" s="14">
        <v>1213</v>
      </c>
      <c r="O197" s="13">
        <f t="shared" si="4"/>
        <v>9826</v>
      </c>
      <c r="P197" s="14">
        <v>1235430</v>
      </c>
      <c r="Q197" s="14">
        <v>1758540</v>
      </c>
      <c r="R197" s="14">
        <v>1680630</v>
      </c>
      <c r="S197" s="14">
        <v>1636110</v>
      </c>
      <c r="T197" s="14">
        <v>1333374</v>
      </c>
      <c r="U197" s="14">
        <v>1698438</v>
      </c>
      <c r="V197" s="14">
        <v>2295006</v>
      </c>
      <c r="W197" s="14">
        <v>1689534</v>
      </c>
      <c r="X197" s="14">
        <v>1760766</v>
      </c>
      <c r="Y197" s="14">
        <v>1638336</v>
      </c>
      <c r="Z197" s="14">
        <v>2446374</v>
      </c>
      <c r="AA197" s="14">
        <v>2700138</v>
      </c>
      <c r="AB197" s="13">
        <f t="shared" si="5"/>
        <v>21872676</v>
      </c>
    </row>
    <row r="198" spans="1:28" x14ac:dyDescent="0.3">
      <c r="A198" s="11">
        <v>192</v>
      </c>
      <c r="B198" s="12" t="s">
        <v>478</v>
      </c>
      <c r="C198" s="14">
        <v>14</v>
      </c>
      <c r="D198" s="14">
        <v>18</v>
      </c>
      <c r="E198" s="14">
        <v>57</v>
      </c>
      <c r="F198" s="14">
        <v>195</v>
      </c>
      <c r="G198" s="14">
        <v>177</v>
      </c>
      <c r="H198" s="14">
        <v>192</v>
      </c>
      <c r="I198" s="14"/>
      <c r="J198" s="14">
        <v>241</v>
      </c>
      <c r="K198" s="14">
        <v>163</v>
      </c>
      <c r="L198" s="14">
        <v>151</v>
      </c>
      <c r="M198" s="14">
        <v>171</v>
      </c>
      <c r="N198" s="14">
        <v>168</v>
      </c>
      <c r="O198" s="13">
        <f t="shared" si="4"/>
        <v>1547</v>
      </c>
      <c r="P198" s="14">
        <v>31164</v>
      </c>
      <c r="Q198" s="14">
        <v>40068</v>
      </c>
      <c r="R198" s="14">
        <v>126882</v>
      </c>
      <c r="S198" s="14">
        <v>434070</v>
      </c>
      <c r="T198" s="14">
        <v>394002</v>
      </c>
      <c r="U198" s="14">
        <v>427392</v>
      </c>
      <c r="V198" s="14"/>
      <c r="W198" s="14">
        <v>536466</v>
      </c>
      <c r="X198" s="14">
        <v>362838</v>
      </c>
      <c r="Y198" s="14">
        <v>336126</v>
      </c>
      <c r="Z198" s="14">
        <v>380646</v>
      </c>
      <c r="AA198" s="14">
        <v>373968</v>
      </c>
      <c r="AB198" s="13">
        <f t="shared" si="5"/>
        <v>3443622</v>
      </c>
    </row>
    <row r="199" spans="1:28" x14ac:dyDescent="0.3">
      <c r="A199" s="11">
        <v>193</v>
      </c>
      <c r="B199" s="12" t="s">
        <v>515</v>
      </c>
      <c r="C199" s="14">
        <v>165</v>
      </c>
      <c r="D199" s="14">
        <v>180</v>
      </c>
      <c r="E199" s="14">
        <v>169</v>
      </c>
      <c r="F199" s="14">
        <v>130</v>
      </c>
      <c r="G199" s="14">
        <v>112</v>
      </c>
      <c r="H199" s="14">
        <v>161</v>
      </c>
      <c r="I199" s="14">
        <v>159</v>
      </c>
      <c r="J199" s="14">
        <v>159</v>
      </c>
      <c r="K199" s="14">
        <v>143</v>
      </c>
      <c r="L199" s="14">
        <v>123</v>
      </c>
      <c r="M199" s="14">
        <v>126</v>
      </c>
      <c r="N199" s="14">
        <v>136</v>
      </c>
      <c r="O199" s="13">
        <f t="shared" ref="O199:O262" si="6">IF(B199="","",SUM(C199:N199))</f>
        <v>1763</v>
      </c>
      <c r="P199" s="14">
        <v>367290</v>
      </c>
      <c r="Q199" s="14">
        <v>400680</v>
      </c>
      <c r="R199" s="14">
        <v>376194</v>
      </c>
      <c r="S199" s="14">
        <v>289380</v>
      </c>
      <c r="T199" s="14">
        <v>249312</v>
      </c>
      <c r="U199" s="14">
        <v>358386</v>
      </c>
      <c r="V199" s="14">
        <v>353934</v>
      </c>
      <c r="W199" s="14">
        <v>353934</v>
      </c>
      <c r="X199" s="14">
        <v>318318</v>
      </c>
      <c r="Y199" s="14">
        <v>273798</v>
      </c>
      <c r="Z199" s="14">
        <v>280476</v>
      </c>
      <c r="AA199" s="14">
        <v>302736</v>
      </c>
      <c r="AB199" s="13">
        <f t="shared" ref="AB199:AB262" si="7">IF(B199="","",SUM(P199:AA199))</f>
        <v>3924438</v>
      </c>
    </row>
    <row r="200" spans="1:28" x14ac:dyDescent="0.3">
      <c r="A200" s="11">
        <v>194</v>
      </c>
      <c r="B200" s="12" t="s">
        <v>377</v>
      </c>
      <c r="C200" s="14">
        <v>955</v>
      </c>
      <c r="D200" s="14">
        <v>1163</v>
      </c>
      <c r="E200" s="14">
        <v>975</v>
      </c>
      <c r="F200" s="14">
        <v>923</v>
      </c>
      <c r="G200" s="14">
        <v>676</v>
      </c>
      <c r="H200" s="14">
        <v>1052</v>
      </c>
      <c r="I200" s="14">
        <v>1380</v>
      </c>
      <c r="J200" s="14">
        <v>1337</v>
      </c>
      <c r="K200" s="14">
        <v>1086</v>
      </c>
      <c r="L200" s="14">
        <v>1070</v>
      </c>
      <c r="M200" s="14">
        <v>1297</v>
      </c>
      <c r="N200" s="14">
        <v>1332</v>
      </c>
      <c r="O200" s="13">
        <f t="shared" si="6"/>
        <v>13246</v>
      </c>
      <c r="P200" s="14">
        <v>1978760</v>
      </c>
      <c r="Q200" s="14">
        <v>2409736</v>
      </c>
      <c r="R200" s="14">
        <v>2020200</v>
      </c>
      <c r="S200" s="14">
        <v>1912456</v>
      </c>
      <c r="T200" s="14">
        <v>1400672</v>
      </c>
      <c r="U200" s="14">
        <v>2179744</v>
      </c>
      <c r="V200" s="14">
        <v>2859360</v>
      </c>
      <c r="W200" s="14">
        <v>2770264</v>
      </c>
      <c r="X200" s="14">
        <v>2250192</v>
      </c>
      <c r="Y200" s="14">
        <v>2217040</v>
      </c>
      <c r="Z200" s="14">
        <v>2687384</v>
      </c>
      <c r="AA200" s="14">
        <v>2759904</v>
      </c>
      <c r="AB200" s="13">
        <f t="shared" si="7"/>
        <v>27445712</v>
      </c>
    </row>
    <row r="201" spans="1:28" x14ac:dyDescent="0.3">
      <c r="A201" s="11">
        <v>195</v>
      </c>
      <c r="B201" s="12" t="s">
        <v>538</v>
      </c>
      <c r="C201" s="14">
        <v>8</v>
      </c>
      <c r="D201" s="14">
        <v>7</v>
      </c>
      <c r="E201" s="14">
        <v>6</v>
      </c>
      <c r="F201" s="14"/>
      <c r="G201" s="14">
        <v>13</v>
      </c>
      <c r="H201" s="14">
        <v>27</v>
      </c>
      <c r="I201" s="14">
        <v>17</v>
      </c>
      <c r="J201" s="14"/>
      <c r="K201" s="14">
        <v>17</v>
      </c>
      <c r="L201" s="14"/>
      <c r="M201" s="14">
        <v>6</v>
      </c>
      <c r="N201" s="14"/>
      <c r="O201" s="13">
        <f t="shared" si="6"/>
        <v>101</v>
      </c>
      <c r="P201" s="14">
        <v>17808</v>
      </c>
      <c r="Q201" s="14">
        <v>15582</v>
      </c>
      <c r="R201" s="14">
        <v>13356</v>
      </c>
      <c r="S201" s="14"/>
      <c r="T201" s="14">
        <v>28938</v>
      </c>
      <c r="U201" s="14">
        <v>60102</v>
      </c>
      <c r="V201" s="14">
        <v>37842</v>
      </c>
      <c r="W201" s="14"/>
      <c r="X201" s="14">
        <v>37842</v>
      </c>
      <c r="Y201" s="14"/>
      <c r="Z201" s="14">
        <v>13356</v>
      </c>
      <c r="AA201" s="14"/>
      <c r="AB201" s="13">
        <f t="shared" si="7"/>
        <v>224826</v>
      </c>
    </row>
    <row r="202" spans="1:28" x14ac:dyDescent="0.3">
      <c r="A202" s="11">
        <v>196</v>
      </c>
      <c r="B202" s="12" t="s">
        <v>516</v>
      </c>
      <c r="C202" s="14">
        <v>30</v>
      </c>
      <c r="D202" s="14">
        <v>57</v>
      </c>
      <c r="E202" s="14">
        <v>121</v>
      </c>
      <c r="F202" s="14">
        <v>25</v>
      </c>
      <c r="G202" s="14">
        <v>23</v>
      </c>
      <c r="H202" s="14">
        <v>26</v>
      </c>
      <c r="I202" s="14">
        <v>31</v>
      </c>
      <c r="J202" s="14">
        <v>45</v>
      </c>
      <c r="K202" s="14">
        <v>33</v>
      </c>
      <c r="L202" s="14">
        <v>20</v>
      </c>
      <c r="M202" s="14">
        <v>11</v>
      </c>
      <c r="N202" s="14">
        <v>9</v>
      </c>
      <c r="O202" s="13">
        <f t="shared" si="6"/>
        <v>431</v>
      </c>
      <c r="P202" s="14">
        <v>66780</v>
      </c>
      <c r="Q202" s="14">
        <v>126882</v>
      </c>
      <c r="R202" s="14">
        <v>269346</v>
      </c>
      <c r="S202" s="14">
        <v>55650</v>
      </c>
      <c r="T202" s="14">
        <v>51198</v>
      </c>
      <c r="U202" s="14">
        <v>57876</v>
      </c>
      <c r="V202" s="14">
        <v>69006</v>
      </c>
      <c r="W202" s="14">
        <v>100170</v>
      </c>
      <c r="X202" s="14">
        <v>73458</v>
      </c>
      <c r="Y202" s="14">
        <v>44520</v>
      </c>
      <c r="Z202" s="14">
        <v>24486</v>
      </c>
      <c r="AA202" s="14">
        <v>20034</v>
      </c>
      <c r="AB202" s="13">
        <f t="shared" si="7"/>
        <v>959406</v>
      </c>
    </row>
    <row r="203" spans="1:28" x14ac:dyDescent="0.3">
      <c r="A203" s="11">
        <v>197</v>
      </c>
      <c r="B203" s="12" t="s">
        <v>313</v>
      </c>
      <c r="C203" s="14"/>
      <c r="D203" s="14"/>
      <c r="E203" s="14">
        <v>565</v>
      </c>
      <c r="F203" s="14">
        <v>548</v>
      </c>
      <c r="G203" s="14">
        <v>635</v>
      </c>
      <c r="H203" s="14">
        <v>745</v>
      </c>
      <c r="I203" s="14">
        <v>1077</v>
      </c>
      <c r="J203" s="14">
        <v>788</v>
      </c>
      <c r="K203" s="14">
        <v>438</v>
      </c>
      <c r="L203" s="14">
        <v>309</v>
      </c>
      <c r="M203" s="14">
        <v>347</v>
      </c>
      <c r="N203" s="14">
        <v>322</v>
      </c>
      <c r="O203" s="13">
        <f t="shared" si="6"/>
        <v>5774</v>
      </c>
      <c r="P203" s="14"/>
      <c r="Q203" s="14"/>
      <c r="R203" s="14">
        <v>1257690</v>
      </c>
      <c r="S203" s="14">
        <v>1219848</v>
      </c>
      <c r="T203" s="14">
        <v>1413510</v>
      </c>
      <c r="U203" s="14">
        <v>1658370</v>
      </c>
      <c r="V203" s="14">
        <v>2397402</v>
      </c>
      <c r="W203" s="14">
        <v>1754088</v>
      </c>
      <c r="X203" s="14">
        <v>974988</v>
      </c>
      <c r="Y203" s="14">
        <v>687834</v>
      </c>
      <c r="Z203" s="14">
        <v>772422</v>
      </c>
      <c r="AA203" s="14">
        <v>716772</v>
      </c>
      <c r="AB203" s="13">
        <f t="shared" si="7"/>
        <v>12852924</v>
      </c>
    </row>
    <row r="204" spans="1:28" x14ac:dyDescent="0.3">
      <c r="A204" s="11">
        <v>198</v>
      </c>
      <c r="B204" s="12" t="s">
        <v>283</v>
      </c>
      <c r="C204" s="14">
        <v>5601</v>
      </c>
      <c r="D204" s="14">
        <v>5403</v>
      </c>
      <c r="E204" s="14">
        <v>5067</v>
      </c>
      <c r="F204" s="14">
        <v>7740</v>
      </c>
      <c r="G204" s="14">
        <v>3138</v>
      </c>
      <c r="H204" s="14">
        <v>5870</v>
      </c>
      <c r="I204" s="14">
        <v>4418</v>
      </c>
      <c r="J204" s="14">
        <v>4285</v>
      </c>
      <c r="K204" s="14">
        <v>5014</v>
      </c>
      <c r="L204" s="14">
        <v>4973</v>
      </c>
      <c r="M204" s="14">
        <v>4600</v>
      </c>
      <c r="N204" s="14">
        <v>4598</v>
      </c>
      <c r="O204" s="13">
        <f t="shared" si="6"/>
        <v>60707</v>
      </c>
      <c r="P204" s="14">
        <v>12467826</v>
      </c>
      <c r="Q204" s="14">
        <v>12027078</v>
      </c>
      <c r="R204" s="14">
        <v>11279142</v>
      </c>
      <c r="S204" s="14">
        <v>17229240</v>
      </c>
      <c r="T204" s="14">
        <v>6985188</v>
      </c>
      <c r="U204" s="14">
        <v>13066620</v>
      </c>
      <c r="V204" s="14">
        <v>9834468</v>
      </c>
      <c r="W204" s="14">
        <v>9538410</v>
      </c>
      <c r="X204" s="14">
        <v>11161164</v>
      </c>
      <c r="Y204" s="14">
        <v>11069898</v>
      </c>
      <c r="Z204" s="14">
        <v>10239600</v>
      </c>
      <c r="AA204" s="14">
        <v>10235148</v>
      </c>
      <c r="AB204" s="13">
        <f t="shared" si="7"/>
        <v>135133782</v>
      </c>
    </row>
    <row r="205" spans="1:28" x14ac:dyDescent="0.3">
      <c r="A205" s="11">
        <v>199</v>
      </c>
      <c r="B205" s="12" t="s">
        <v>341</v>
      </c>
      <c r="C205" s="14">
        <v>380</v>
      </c>
      <c r="D205" s="14">
        <v>486</v>
      </c>
      <c r="E205" s="14">
        <v>570</v>
      </c>
      <c r="F205" s="14">
        <v>565</v>
      </c>
      <c r="G205" s="14">
        <v>463</v>
      </c>
      <c r="H205" s="14">
        <v>555</v>
      </c>
      <c r="I205" s="14">
        <v>389</v>
      </c>
      <c r="J205" s="14">
        <v>498</v>
      </c>
      <c r="K205" s="14">
        <v>295</v>
      </c>
      <c r="L205" s="14">
        <v>150</v>
      </c>
      <c r="M205" s="14">
        <v>264</v>
      </c>
      <c r="N205" s="14">
        <v>330</v>
      </c>
      <c r="O205" s="13">
        <f t="shared" si="6"/>
        <v>4945</v>
      </c>
      <c r="P205" s="14">
        <v>845880</v>
      </c>
      <c r="Q205" s="14">
        <v>1081836</v>
      </c>
      <c r="R205" s="14">
        <v>1268820</v>
      </c>
      <c r="S205" s="14">
        <v>1257690</v>
      </c>
      <c r="T205" s="14">
        <v>1030638</v>
      </c>
      <c r="U205" s="14">
        <v>1235430</v>
      </c>
      <c r="V205" s="14">
        <v>865914</v>
      </c>
      <c r="W205" s="14">
        <v>1108548</v>
      </c>
      <c r="X205" s="14">
        <v>656670</v>
      </c>
      <c r="Y205" s="14">
        <v>333900</v>
      </c>
      <c r="Z205" s="14">
        <v>587664</v>
      </c>
      <c r="AA205" s="14">
        <v>734580</v>
      </c>
      <c r="AB205" s="13">
        <f t="shared" si="7"/>
        <v>11007570</v>
      </c>
    </row>
    <row r="206" spans="1:28" x14ac:dyDescent="0.3">
      <c r="A206" s="11">
        <v>200</v>
      </c>
      <c r="B206" s="12" t="s">
        <v>351</v>
      </c>
      <c r="C206" s="14">
        <v>59646</v>
      </c>
      <c r="D206" s="14">
        <v>52075</v>
      </c>
      <c r="E206" s="14">
        <v>54417</v>
      </c>
      <c r="F206" s="14">
        <v>44977</v>
      </c>
      <c r="G206" s="14">
        <v>42225</v>
      </c>
      <c r="H206" s="14">
        <v>56084</v>
      </c>
      <c r="I206" s="14">
        <v>55519</v>
      </c>
      <c r="J206" s="14">
        <v>61498</v>
      </c>
      <c r="K206" s="14">
        <v>61116</v>
      </c>
      <c r="L206" s="14">
        <v>61987</v>
      </c>
      <c r="M206" s="14">
        <v>59937</v>
      </c>
      <c r="N206" s="14">
        <v>56970</v>
      </c>
      <c r="O206" s="13">
        <f t="shared" si="6"/>
        <v>666451</v>
      </c>
      <c r="P206" s="14">
        <v>123586512</v>
      </c>
      <c r="Q206" s="14">
        <v>107899400</v>
      </c>
      <c r="R206" s="14">
        <v>112752024</v>
      </c>
      <c r="S206" s="14">
        <v>93192344</v>
      </c>
      <c r="T206" s="14">
        <v>87490200</v>
      </c>
      <c r="U206" s="14">
        <v>116206048</v>
      </c>
      <c r="V206" s="14">
        <v>115035368</v>
      </c>
      <c r="W206" s="14">
        <v>127423856</v>
      </c>
      <c r="X206" s="14">
        <v>126632352</v>
      </c>
      <c r="Y206" s="14">
        <v>128437064</v>
      </c>
      <c r="Z206" s="14">
        <v>124189464</v>
      </c>
      <c r="AA206" s="14">
        <v>118041840</v>
      </c>
      <c r="AB206" s="13">
        <f t="shared" si="7"/>
        <v>1380886472</v>
      </c>
    </row>
    <row r="207" spans="1:28" x14ac:dyDescent="0.3">
      <c r="A207" s="11">
        <v>201</v>
      </c>
      <c r="B207" s="12" t="s">
        <v>167</v>
      </c>
      <c r="C207" s="14">
        <v>641</v>
      </c>
      <c r="D207" s="14">
        <v>547</v>
      </c>
      <c r="E207" s="14">
        <v>519</v>
      </c>
      <c r="F207" s="14">
        <v>381</v>
      </c>
      <c r="G207" s="14">
        <v>488</v>
      </c>
      <c r="H207" s="14">
        <v>544</v>
      </c>
      <c r="I207" s="14">
        <v>667</v>
      </c>
      <c r="J207" s="14">
        <v>796</v>
      </c>
      <c r="K207" s="14">
        <v>536</v>
      </c>
      <c r="L207" s="14">
        <v>609</v>
      </c>
      <c r="M207" s="14">
        <v>667</v>
      </c>
      <c r="N207" s="14">
        <v>666</v>
      </c>
      <c r="O207" s="13">
        <f t="shared" si="6"/>
        <v>7061</v>
      </c>
      <c r="P207" s="14">
        <v>1426866</v>
      </c>
      <c r="Q207" s="14">
        <v>1217622</v>
      </c>
      <c r="R207" s="14">
        <v>1155294</v>
      </c>
      <c r="S207" s="14">
        <v>848106</v>
      </c>
      <c r="T207" s="14">
        <v>1086288</v>
      </c>
      <c r="U207" s="14">
        <v>1210944</v>
      </c>
      <c r="V207" s="14">
        <v>1484742</v>
      </c>
      <c r="W207" s="14">
        <v>1771896</v>
      </c>
      <c r="X207" s="14">
        <v>1193136</v>
      </c>
      <c r="Y207" s="14">
        <v>1355634</v>
      </c>
      <c r="Z207" s="14">
        <v>1484742</v>
      </c>
      <c r="AA207" s="14">
        <v>1482516</v>
      </c>
      <c r="AB207" s="13">
        <f t="shared" si="7"/>
        <v>15717786</v>
      </c>
    </row>
    <row r="208" spans="1:28" x14ac:dyDescent="0.3">
      <c r="A208" s="11"/>
      <c r="B208" s="12" t="s">
        <v>403</v>
      </c>
      <c r="C208" s="14">
        <v>11707</v>
      </c>
      <c r="D208" s="14">
        <v>10204</v>
      </c>
      <c r="E208" s="14">
        <v>10228</v>
      </c>
      <c r="F208" s="14">
        <v>9421</v>
      </c>
      <c r="G208" s="14">
        <v>6174</v>
      </c>
      <c r="H208" s="14">
        <v>9704</v>
      </c>
      <c r="I208" s="14">
        <v>9335</v>
      </c>
      <c r="J208" s="14">
        <v>9309</v>
      </c>
      <c r="K208" s="14">
        <v>3696</v>
      </c>
      <c r="L208" s="14">
        <v>3246</v>
      </c>
      <c r="M208" s="14">
        <v>3469</v>
      </c>
      <c r="N208" s="14">
        <v>11490</v>
      </c>
      <c r="O208" s="13">
        <f t="shared" si="6"/>
        <v>97983</v>
      </c>
      <c r="P208" s="14">
        <v>24256904</v>
      </c>
      <c r="Q208" s="14">
        <v>21142688</v>
      </c>
      <c r="R208" s="14">
        <v>21192416</v>
      </c>
      <c r="S208" s="14">
        <v>19520312</v>
      </c>
      <c r="T208" s="14">
        <v>12792528</v>
      </c>
      <c r="U208" s="14">
        <v>20106688</v>
      </c>
      <c r="V208" s="14">
        <v>19342120</v>
      </c>
      <c r="W208" s="14">
        <v>19288248</v>
      </c>
      <c r="X208" s="14">
        <v>7658112</v>
      </c>
      <c r="Y208" s="14">
        <v>6725712</v>
      </c>
      <c r="Z208" s="14">
        <v>7187768</v>
      </c>
      <c r="AA208" s="14">
        <v>23807280</v>
      </c>
      <c r="AB208" s="13">
        <f t="shared" si="7"/>
        <v>203020776</v>
      </c>
    </row>
    <row r="209" spans="1:28" x14ac:dyDescent="0.3">
      <c r="A209" s="11"/>
      <c r="B209" s="12" t="s">
        <v>262</v>
      </c>
      <c r="C209" s="14">
        <v>22</v>
      </c>
      <c r="D209" s="14">
        <v>29</v>
      </c>
      <c r="E209" s="14">
        <v>22</v>
      </c>
      <c r="F209" s="14">
        <v>25</v>
      </c>
      <c r="G209" s="14">
        <v>32</v>
      </c>
      <c r="H209" s="14">
        <v>49</v>
      </c>
      <c r="I209" s="14">
        <v>55</v>
      </c>
      <c r="J209" s="14">
        <v>25</v>
      </c>
      <c r="K209" s="14">
        <v>35</v>
      </c>
      <c r="L209" s="14">
        <v>21</v>
      </c>
      <c r="M209" s="14"/>
      <c r="N209" s="14"/>
      <c r="O209" s="13">
        <f t="shared" si="6"/>
        <v>315</v>
      </c>
      <c r="P209" s="14">
        <v>48972</v>
      </c>
      <c r="Q209" s="14">
        <v>64554</v>
      </c>
      <c r="R209" s="14">
        <v>48972</v>
      </c>
      <c r="S209" s="14">
        <v>55650</v>
      </c>
      <c r="T209" s="14">
        <v>71232</v>
      </c>
      <c r="U209" s="14">
        <v>109074</v>
      </c>
      <c r="V209" s="14">
        <v>122430</v>
      </c>
      <c r="W209" s="14">
        <v>55650</v>
      </c>
      <c r="X209" s="14">
        <v>77910</v>
      </c>
      <c r="Y209" s="14">
        <v>46746</v>
      </c>
      <c r="Z209" s="14"/>
      <c r="AA209" s="14"/>
      <c r="AB209" s="13">
        <f t="shared" si="7"/>
        <v>701190</v>
      </c>
    </row>
    <row r="210" spans="1:28" x14ac:dyDescent="0.3">
      <c r="A210" s="11"/>
      <c r="B210" s="12" t="s">
        <v>263</v>
      </c>
      <c r="C210" s="14">
        <v>10</v>
      </c>
      <c r="D210" s="14">
        <v>14</v>
      </c>
      <c r="E210" s="14">
        <v>12</v>
      </c>
      <c r="F210" s="14">
        <v>20</v>
      </c>
      <c r="G210" s="14">
        <v>17</v>
      </c>
      <c r="H210" s="14">
        <v>44</v>
      </c>
      <c r="I210" s="14">
        <v>10</v>
      </c>
      <c r="J210" s="14"/>
      <c r="K210" s="14">
        <v>10</v>
      </c>
      <c r="L210" s="14">
        <v>16</v>
      </c>
      <c r="M210" s="14">
        <v>30</v>
      </c>
      <c r="N210" s="14">
        <v>27</v>
      </c>
      <c r="O210" s="13">
        <f t="shared" si="6"/>
        <v>210</v>
      </c>
      <c r="P210" s="14">
        <v>22260</v>
      </c>
      <c r="Q210" s="14">
        <v>31164</v>
      </c>
      <c r="R210" s="14">
        <v>26712</v>
      </c>
      <c r="S210" s="14">
        <v>44520</v>
      </c>
      <c r="T210" s="14">
        <v>37842</v>
      </c>
      <c r="U210" s="14">
        <v>97944</v>
      </c>
      <c r="V210" s="14">
        <v>22260</v>
      </c>
      <c r="W210" s="14"/>
      <c r="X210" s="14">
        <v>22260</v>
      </c>
      <c r="Y210" s="14">
        <v>35616</v>
      </c>
      <c r="Z210" s="14">
        <v>66780</v>
      </c>
      <c r="AA210" s="14">
        <v>60102</v>
      </c>
      <c r="AB210" s="13">
        <f t="shared" si="7"/>
        <v>467460</v>
      </c>
    </row>
    <row r="211" spans="1:28" x14ac:dyDescent="0.3">
      <c r="A211" s="11"/>
      <c r="B211" s="12" t="s">
        <v>766</v>
      </c>
      <c r="C211" s="14">
        <v>251</v>
      </c>
      <c r="D211" s="14">
        <v>274</v>
      </c>
      <c r="E211" s="14">
        <v>276</v>
      </c>
      <c r="F211" s="14">
        <v>292</v>
      </c>
      <c r="G211" s="14">
        <v>365</v>
      </c>
      <c r="H211" s="14">
        <v>306</v>
      </c>
      <c r="I211" s="14">
        <v>339</v>
      </c>
      <c r="J211" s="14">
        <v>266</v>
      </c>
      <c r="K211" s="14">
        <v>265</v>
      </c>
      <c r="L211" s="14">
        <v>220</v>
      </c>
      <c r="M211" s="14">
        <v>233</v>
      </c>
      <c r="N211" s="14">
        <v>221</v>
      </c>
      <c r="O211" s="13">
        <f t="shared" si="6"/>
        <v>3308</v>
      </c>
      <c r="P211" s="14">
        <v>558726</v>
      </c>
      <c r="Q211" s="14">
        <v>609924</v>
      </c>
      <c r="R211" s="14">
        <v>614376</v>
      </c>
      <c r="S211" s="14">
        <v>649992</v>
      </c>
      <c r="T211" s="14">
        <v>812490</v>
      </c>
      <c r="U211" s="14">
        <v>681156</v>
      </c>
      <c r="V211" s="14">
        <v>754614</v>
      </c>
      <c r="W211" s="14">
        <v>592116</v>
      </c>
      <c r="X211" s="14">
        <v>589890</v>
      </c>
      <c r="Y211" s="14">
        <v>489720</v>
      </c>
      <c r="Z211" s="14">
        <v>518658</v>
      </c>
      <c r="AA211" s="14">
        <v>491946</v>
      </c>
      <c r="AB211" s="13">
        <f t="shared" si="7"/>
        <v>7363608</v>
      </c>
    </row>
    <row r="212" spans="1:28" x14ac:dyDescent="0.3">
      <c r="A212" s="11"/>
      <c r="B212" s="12" t="s">
        <v>276</v>
      </c>
      <c r="C212" s="14">
        <v>2880</v>
      </c>
      <c r="D212" s="14">
        <v>2295</v>
      </c>
      <c r="E212" s="14">
        <v>2453</v>
      </c>
      <c r="F212" s="14">
        <v>2645</v>
      </c>
      <c r="G212" s="14">
        <v>2758</v>
      </c>
      <c r="H212" s="14">
        <v>3253</v>
      </c>
      <c r="I212" s="14">
        <v>3146</v>
      </c>
      <c r="J212" s="14">
        <v>2711</v>
      </c>
      <c r="K212" s="14">
        <v>2499</v>
      </c>
      <c r="L212" s="14">
        <v>2443</v>
      </c>
      <c r="M212" s="14">
        <v>2854</v>
      </c>
      <c r="N212" s="14">
        <v>2499</v>
      </c>
      <c r="O212" s="13">
        <f t="shared" si="6"/>
        <v>32436</v>
      </c>
      <c r="P212" s="14">
        <v>6410880</v>
      </c>
      <c r="Q212" s="14">
        <v>5108670</v>
      </c>
      <c r="R212" s="14">
        <v>5460378</v>
      </c>
      <c r="S212" s="14">
        <v>5887770</v>
      </c>
      <c r="T212" s="14">
        <v>6139308</v>
      </c>
      <c r="U212" s="14">
        <v>7241178</v>
      </c>
      <c r="V212" s="14">
        <v>7002996</v>
      </c>
      <c r="W212" s="14">
        <v>6034686</v>
      </c>
      <c r="X212" s="14">
        <v>5562774</v>
      </c>
      <c r="Y212" s="14">
        <v>5438118</v>
      </c>
      <c r="Z212" s="14">
        <v>6353004</v>
      </c>
      <c r="AA212" s="14">
        <v>5562774</v>
      </c>
      <c r="AB212" s="13">
        <f t="shared" si="7"/>
        <v>72202536</v>
      </c>
    </row>
    <row r="213" spans="1:28" x14ac:dyDescent="0.3">
      <c r="A213" s="11"/>
      <c r="B213" s="12" t="s">
        <v>284</v>
      </c>
      <c r="C213" s="14">
        <v>47335</v>
      </c>
      <c r="D213" s="14">
        <v>44632</v>
      </c>
      <c r="E213" s="14">
        <v>46696</v>
      </c>
      <c r="F213" s="14">
        <v>47614</v>
      </c>
      <c r="G213" s="14">
        <v>42653</v>
      </c>
      <c r="H213" s="14">
        <v>44222</v>
      </c>
      <c r="I213" s="14">
        <v>39060</v>
      </c>
      <c r="J213" s="14">
        <v>41753</v>
      </c>
      <c r="K213" s="14">
        <v>43057</v>
      </c>
      <c r="L213" s="14">
        <v>43326</v>
      </c>
      <c r="M213" s="14">
        <v>41824</v>
      </c>
      <c r="N213" s="14">
        <v>39983</v>
      </c>
      <c r="O213" s="13">
        <f t="shared" si="6"/>
        <v>522155</v>
      </c>
      <c r="P213" s="14">
        <v>105367710</v>
      </c>
      <c r="Q213" s="14">
        <v>99350832</v>
      </c>
      <c r="R213" s="14">
        <v>103945296</v>
      </c>
      <c r="S213" s="14">
        <v>105988764</v>
      </c>
      <c r="T213" s="14">
        <v>94945578</v>
      </c>
      <c r="U213" s="14">
        <v>98438172</v>
      </c>
      <c r="V213" s="14">
        <v>86947560</v>
      </c>
      <c r="W213" s="14">
        <v>92942178</v>
      </c>
      <c r="X213" s="14">
        <v>95844882</v>
      </c>
      <c r="Y213" s="14">
        <v>96443676</v>
      </c>
      <c r="Z213" s="14">
        <v>93100224</v>
      </c>
      <c r="AA213" s="14">
        <v>89002158</v>
      </c>
      <c r="AB213" s="13">
        <f t="shared" si="7"/>
        <v>1162317030</v>
      </c>
    </row>
    <row r="214" spans="1:28" x14ac:dyDescent="0.3">
      <c r="A214" s="11"/>
      <c r="B214" s="12" t="s">
        <v>484</v>
      </c>
      <c r="C214" s="14"/>
      <c r="D214" s="14"/>
      <c r="E214" s="14"/>
      <c r="F214" s="14"/>
      <c r="G214" s="14"/>
      <c r="H214" s="14"/>
      <c r="I214" s="14"/>
      <c r="J214" s="14">
        <v>177</v>
      </c>
      <c r="K214" s="14">
        <v>108</v>
      </c>
      <c r="L214" s="14">
        <v>88</v>
      </c>
      <c r="M214" s="14">
        <v>15</v>
      </c>
      <c r="N214" s="14">
        <v>6</v>
      </c>
      <c r="O214" s="13">
        <f t="shared" si="6"/>
        <v>394</v>
      </c>
      <c r="P214" s="14"/>
      <c r="Q214" s="14"/>
      <c r="R214" s="14"/>
      <c r="S214" s="14"/>
      <c r="T214" s="14"/>
      <c r="U214" s="14"/>
      <c r="V214" s="14"/>
      <c r="W214" s="14">
        <v>394002</v>
      </c>
      <c r="X214" s="14">
        <v>240408</v>
      </c>
      <c r="Y214" s="14">
        <v>195888</v>
      </c>
      <c r="Z214" s="14">
        <v>33390</v>
      </c>
      <c r="AA214" s="14">
        <v>13356</v>
      </c>
      <c r="AB214" s="13">
        <f t="shared" si="7"/>
        <v>877044</v>
      </c>
    </row>
    <row r="215" spans="1:28" x14ac:dyDescent="0.3">
      <c r="A215" s="11"/>
      <c r="B215" s="12" t="s">
        <v>500</v>
      </c>
      <c r="C215" s="14">
        <v>20</v>
      </c>
      <c r="D215" s="14">
        <v>28</v>
      </c>
      <c r="E215" s="14">
        <v>16</v>
      </c>
      <c r="F215" s="14">
        <v>13</v>
      </c>
      <c r="G215" s="14">
        <v>15</v>
      </c>
      <c r="H215" s="14">
        <v>16</v>
      </c>
      <c r="I215" s="14">
        <v>17</v>
      </c>
      <c r="J215" s="14">
        <v>23</v>
      </c>
      <c r="K215" s="14">
        <v>24</v>
      </c>
      <c r="L215" s="14">
        <v>14</v>
      </c>
      <c r="M215" s="14">
        <v>17</v>
      </c>
      <c r="N215" s="14">
        <v>13</v>
      </c>
      <c r="O215" s="13">
        <f t="shared" si="6"/>
        <v>216</v>
      </c>
      <c r="P215" s="14">
        <v>44520</v>
      </c>
      <c r="Q215" s="14">
        <v>62328</v>
      </c>
      <c r="R215" s="14">
        <v>35616</v>
      </c>
      <c r="S215" s="14">
        <v>28938</v>
      </c>
      <c r="T215" s="14">
        <v>33390</v>
      </c>
      <c r="U215" s="14">
        <v>35616</v>
      </c>
      <c r="V215" s="14">
        <v>37842</v>
      </c>
      <c r="W215" s="14">
        <v>51198</v>
      </c>
      <c r="X215" s="14">
        <v>53424</v>
      </c>
      <c r="Y215" s="14">
        <v>31164</v>
      </c>
      <c r="Z215" s="14">
        <v>37842</v>
      </c>
      <c r="AA215" s="14">
        <v>28938</v>
      </c>
      <c r="AB215" s="13">
        <f t="shared" si="7"/>
        <v>480816</v>
      </c>
    </row>
    <row r="216" spans="1:28" x14ac:dyDescent="0.3">
      <c r="A216" s="11"/>
      <c r="B216" s="12" t="s">
        <v>499</v>
      </c>
      <c r="C216" s="14">
        <v>231</v>
      </c>
      <c r="D216" s="14">
        <v>215</v>
      </c>
      <c r="E216" s="14">
        <v>171</v>
      </c>
      <c r="F216" s="14">
        <v>120</v>
      </c>
      <c r="G216" s="14">
        <v>153</v>
      </c>
      <c r="H216" s="14">
        <v>169</v>
      </c>
      <c r="I216" s="14">
        <v>206</v>
      </c>
      <c r="J216" s="14">
        <v>206</v>
      </c>
      <c r="K216" s="14">
        <v>200</v>
      </c>
      <c r="L216" s="14">
        <v>170</v>
      </c>
      <c r="M216" s="14">
        <v>169</v>
      </c>
      <c r="N216" s="14">
        <v>166</v>
      </c>
      <c r="O216" s="13">
        <f t="shared" si="6"/>
        <v>2176</v>
      </c>
      <c r="P216" s="14">
        <v>514206</v>
      </c>
      <c r="Q216" s="14">
        <v>478590</v>
      </c>
      <c r="R216" s="14">
        <v>380646</v>
      </c>
      <c r="S216" s="14">
        <v>267120</v>
      </c>
      <c r="T216" s="14">
        <v>340578</v>
      </c>
      <c r="U216" s="14">
        <v>376194</v>
      </c>
      <c r="V216" s="14">
        <v>458556</v>
      </c>
      <c r="W216" s="14">
        <v>458556</v>
      </c>
      <c r="X216" s="14">
        <v>445200</v>
      </c>
      <c r="Y216" s="14">
        <v>378420</v>
      </c>
      <c r="Z216" s="14">
        <v>376194</v>
      </c>
      <c r="AA216" s="14">
        <v>369516</v>
      </c>
      <c r="AB216" s="13">
        <f t="shared" si="7"/>
        <v>4843776</v>
      </c>
    </row>
    <row r="217" spans="1:28" x14ac:dyDescent="0.3">
      <c r="A217" s="11"/>
      <c r="B217" s="12" t="s">
        <v>501</v>
      </c>
      <c r="C217" s="14">
        <v>27</v>
      </c>
      <c r="D217" s="14">
        <v>37</v>
      </c>
      <c r="E217" s="14">
        <v>35</v>
      </c>
      <c r="F217" s="14">
        <v>18</v>
      </c>
      <c r="G217" s="14">
        <v>39</v>
      </c>
      <c r="H217" s="14">
        <v>150</v>
      </c>
      <c r="I217" s="14">
        <v>466</v>
      </c>
      <c r="J217" s="14">
        <v>143</v>
      </c>
      <c r="K217" s="14">
        <v>40</v>
      </c>
      <c r="L217" s="14">
        <v>28</v>
      </c>
      <c r="M217" s="14">
        <v>34</v>
      </c>
      <c r="N217" s="14">
        <v>227</v>
      </c>
      <c r="O217" s="13">
        <f t="shared" si="6"/>
        <v>1244</v>
      </c>
      <c r="P217" s="14">
        <v>60102</v>
      </c>
      <c r="Q217" s="14">
        <v>82362</v>
      </c>
      <c r="R217" s="14">
        <v>77910</v>
      </c>
      <c r="S217" s="14">
        <v>40068</v>
      </c>
      <c r="T217" s="14">
        <v>86814</v>
      </c>
      <c r="U217" s="14">
        <v>333900</v>
      </c>
      <c r="V217" s="14">
        <v>1037316</v>
      </c>
      <c r="W217" s="14">
        <v>318318</v>
      </c>
      <c r="X217" s="14">
        <v>89040</v>
      </c>
      <c r="Y217" s="14">
        <v>62328</v>
      </c>
      <c r="Z217" s="14">
        <v>75684</v>
      </c>
      <c r="AA217" s="14">
        <v>505302</v>
      </c>
      <c r="AB217" s="13">
        <f t="shared" si="7"/>
        <v>2769144</v>
      </c>
    </row>
    <row r="218" spans="1:28" x14ac:dyDescent="0.3">
      <c r="A218" s="11"/>
      <c r="B218" s="12" t="s">
        <v>375</v>
      </c>
      <c r="C218" s="14">
        <v>2352</v>
      </c>
      <c r="D218" s="14">
        <v>2016</v>
      </c>
      <c r="E218" s="14">
        <v>2166</v>
      </c>
      <c r="F218" s="14">
        <v>2089</v>
      </c>
      <c r="G218" s="14">
        <v>1449</v>
      </c>
      <c r="H218" s="14">
        <v>2420</v>
      </c>
      <c r="I218" s="14">
        <v>2314</v>
      </c>
      <c r="J218" s="14">
        <v>2105</v>
      </c>
      <c r="K218" s="14">
        <v>1283</v>
      </c>
      <c r="L218" s="14">
        <v>1253</v>
      </c>
      <c r="M218" s="14">
        <v>2178</v>
      </c>
      <c r="N218" s="14">
        <v>2270</v>
      </c>
      <c r="O218" s="13">
        <f t="shared" si="6"/>
        <v>23895</v>
      </c>
      <c r="P218" s="14">
        <v>4873344</v>
      </c>
      <c r="Q218" s="14">
        <v>4177152</v>
      </c>
      <c r="R218" s="14">
        <v>4487952</v>
      </c>
      <c r="S218" s="14">
        <v>4328408</v>
      </c>
      <c r="T218" s="14">
        <v>3002328</v>
      </c>
      <c r="U218" s="14">
        <v>5014240</v>
      </c>
      <c r="V218" s="14">
        <v>4794608</v>
      </c>
      <c r="W218" s="14">
        <v>4361560</v>
      </c>
      <c r="X218" s="14">
        <v>2658376</v>
      </c>
      <c r="Y218" s="14">
        <v>2596216</v>
      </c>
      <c r="Z218" s="14">
        <v>4512816</v>
      </c>
      <c r="AA218" s="14">
        <v>4703440</v>
      </c>
      <c r="AB218" s="13">
        <f t="shared" si="7"/>
        <v>49510440</v>
      </c>
    </row>
    <row r="219" spans="1:28" x14ac:dyDescent="0.3">
      <c r="A219" s="11"/>
      <c r="B219" s="12" t="s">
        <v>460</v>
      </c>
      <c r="C219" s="14">
        <v>2460</v>
      </c>
      <c r="D219" s="14">
        <v>2180</v>
      </c>
      <c r="E219" s="14">
        <v>2305</v>
      </c>
      <c r="F219" s="14">
        <v>2161</v>
      </c>
      <c r="G219" s="14">
        <v>1433</v>
      </c>
      <c r="H219" s="14">
        <v>2361</v>
      </c>
      <c r="I219" s="14">
        <v>2570</v>
      </c>
      <c r="J219" s="14">
        <v>2128</v>
      </c>
      <c r="K219" s="14">
        <v>837</v>
      </c>
      <c r="L219" s="14">
        <v>822</v>
      </c>
      <c r="M219" s="14">
        <v>1526</v>
      </c>
      <c r="N219" s="14">
        <v>2921</v>
      </c>
      <c r="O219" s="13">
        <f t="shared" si="6"/>
        <v>23704</v>
      </c>
      <c r="P219" s="14">
        <v>5097120</v>
      </c>
      <c r="Q219" s="14">
        <v>4516960</v>
      </c>
      <c r="R219" s="14">
        <v>4775960</v>
      </c>
      <c r="S219" s="14">
        <v>4477592</v>
      </c>
      <c r="T219" s="14">
        <v>2969176</v>
      </c>
      <c r="U219" s="14">
        <v>4891992</v>
      </c>
      <c r="V219" s="14">
        <v>5325040</v>
      </c>
      <c r="W219" s="14">
        <v>4409216</v>
      </c>
      <c r="X219" s="14">
        <v>1734264</v>
      </c>
      <c r="Y219" s="14">
        <v>1703184</v>
      </c>
      <c r="Z219" s="14">
        <v>3161872</v>
      </c>
      <c r="AA219" s="14">
        <v>6052312</v>
      </c>
      <c r="AB219" s="13">
        <f t="shared" si="7"/>
        <v>49114688</v>
      </c>
    </row>
    <row r="220" spans="1:28" x14ac:dyDescent="0.3">
      <c r="A220" s="11"/>
      <c r="B220" s="12" t="s">
        <v>358</v>
      </c>
      <c r="C220" s="14">
        <v>335</v>
      </c>
      <c r="D220" s="14">
        <v>439</v>
      </c>
      <c r="E220" s="14">
        <v>326</v>
      </c>
      <c r="F220" s="14">
        <v>320</v>
      </c>
      <c r="G220" s="14">
        <v>204</v>
      </c>
      <c r="H220" s="14">
        <v>383</v>
      </c>
      <c r="I220" s="14">
        <v>370</v>
      </c>
      <c r="J220" s="14">
        <v>282</v>
      </c>
      <c r="K220" s="14"/>
      <c r="L220" s="14"/>
      <c r="M220" s="14">
        <v>134</v>
      </c>
      <c r="N220" s="14">
        <v>255</v>
      </c>
      <c r="O220" s="13">
        <f t="shared" si="6"/>
        <v>3048</v>
      </c>
      <c r="P220" s="14">
        <v>694120</v>
      </c>
      <c r="Q220" s="14">
        <v>909608</v>
      </c>
      <c r="R220" s="14">
        <v>675472</v>
      </c>
      <c r="S220" s="14">
        <v>663040</v>
      </c>
      <c r="T220" s="14">
        <v>422688</v>
      </c>
      <c r="U220" s="14">
        <v>793576</v>
      </c>
      <c r="V220" s="14">
        <v>766640</v>
      </c>
      <c r="W220" s="14">
        <v>584304</v>
      </c>
      <c r="X220" s="14"/>
      <c r="Y220" s="14"/>
      <c r="Z220" s="14">
        <v>277648</v>
      </c>
      <c r="AA220" s="14">
        <v>528360</v>
      </c>
      <c r="AB220" s="13">
        <f t="shared" si="7"/>
        <v>6315456</v>
      </c>
    </row>
    <row r="221" spans="1:28" x14ac:dyDescent="0.3">
      <c r="A221" s="11"/>
      <c r="B221" s="12" t="s">
        <v>337</v>
      </c>
      <c r="C221" s="14">
        <v>23</v>
      </c>
      <c r="D221" s="14">
        <v>37</v>
      </c>
      <c r="E221" s="14">
        <v>35</v>
      </c>
      <c r="F221" s="14">
        <v>24</v>
      </c>
      <c r="G221" s="14">
        <v>74</v>
      </c>
      <c r="H221" s="14">
        <v>77</v>
      </c>
      <c r="I221" s="14">
        <v>29</v>
      </c>
      <c r="J221" s="14">
        <v>23</v>
      </c>
      <c r="K221" s="14">
        <v>32</v>
      </c>
      <c r="L221" s="14">
        <v>31</v>
      </c>
      <c r="M221" s="14">
        <v>20</v>
      </c>
      <c r="N221" s="14">
        <v>16</v>
      </c>
      <c r="O221" s="13">
        <f t="shared" si="6"/>
        <v>421</v>
      </c>
      <c r="P221" s="14">
        <v>51198</v>
      </c>
      <c r="Q221" s="14">
        <v>82362</v>
      </c>
      <c r="R221" s="14">
        <v>77910</v>
      </c>
      <c r="S221" s="14">
        <v>53424</v>
      </c>
      <c r="T221" s="14">
        <v>164724</v>
      </c>
      <c r="U221" s="14">
        <v>171402</v>
      </c>
      <c r="V221" s="14">
        <v>64554</v>
      </c>
      <c r="W221" s="14">
        <v>51198</v>
      </c>
      <c r="X221" s="14">
        <v>71232</v>
      </c>
      <c r="Y221" s="14">
        <v>69006</v>
      </c>
      <c r="Z221" s="14">
        <v>44520</v>
      </c>
      <c r="AA221" s="14">
        <v>35616</v>
      </c>
      <c r="AB221" s="13">
        <f t="shared" si="7"/>
        <v>937146</v>
      </c>
    </row>
    <row r="222" spans="1:28" x14ac:dyDescent="0.3">
      <c r="A222" s="11"/>
      <c r="B222" s="12" t="s">
        <v>264</v>
      </c>
      <c r="C222" s="14">
        <v>8</v>
      </c>
      <c r="D222" s="14">
        <v>27</v>
      </c>
      <c r="E222" s="14">
        <v>13</v>
      </c>
      <c r="F222" s="14">
        <v>14</v>
      </c>
      <c r="G222" s="14">
        <v>21</v>
      </c>
      <c r="H222" s="14">
        <v>52</v>
      </c>
      <c r="I222" s="14">
        <v>47</v>
      </c>
      <c r="J222" s="14">
        <v>47</v>
      </c>
      <c r="K222" s="14">
        <v>49</v>
      </c>
      <c r="L222" s="14">
        <v>30</v>
      </c>
      <c r="M222" s="14">
        <v>27</v>
      </c>
      <c r="N222" s="14">
        <v>27</v>
      </c>
      <c r="O222" s="13">
        <f t="shared" si="6"/>
        <v>362</v>
      </c>
      <c r="P222" s="14">
        <v>17808</v>
      </c>
      <c r="Q222" s="14">
        <v>60102</v>
      </c>
      <c r="R222" s="14">
        <v>28938</v>
      </c>
      <c r="S222" s="14">
        <v>31164</v>
      </c>
      <c r="T222" s="14">
        <v>46746</v>
      </c>
      <c r="U222" s="14">
        <v>115752</v>
      </c>
      <c r="V222" s="14">
        <v>104622</v>
      </c>
      <c r="W222" s="14">
        <v>104622</v>
      </c>
      <c r="X222" s="14">
        <v>109074</v>
      </c>
      <c r="Y222" s="14">
        <v>66780</v>
      </c>
      <c r="Z222" s="14">
        <v>60102</v>
      </c>
      <c r="AA222" s="14">
        <v>60102</v>
      </c>
      <c r="AB222" s="13">
        <f t="shared" si="7"/>
        <v>805812</v>
      </c>
    </row>
    <row r="223" spans="1:28" x14ac:dyDescent="0.3">
      <c r="A223" s="11"/>
      <c r="B223" s="12" t="s">
        <v>265</v>
      </c>
      <c r="C223" s="14">
        <v>110</v>
      </c>
      <c r="D223" s="14">
        <v>155</v>
      </c>
      <c r="E223" s="14">
        <v>112</v>
      </c>
      <c r="F223" s="14">
        <v>115</v>
      </c>
      <c r="G223" s="14">
        <v>88</v>
      </c>
      <c r="H223" s="14">
        <v>125</v>
      </c>
      <c r="I223" s="14">
        <v>103</v>
      </c>
      <c r="J223" s="14">
        <v>107</v>
      </c>
      <c r="K223" s="14">
        <v>57</v>
      </c>
      <c r="L223" s="14">
        <v>95</v>
      </c>
      <c r="M223" s="14">
        <v>106</v>
      </c>
      <c r="N223" s="14">
        <v>73</v>
      </c>
      <c r="O223" s="13">
        <f t="shared" si="6"/>
        <v>1246</v>
      </c>
      <c r="P223" s="14">
        <v>244860</v>
      </c>
      <c r="Q223" s="14">
        <v>345030</v>
      </c>
      <c r="R223" s="14">
        <v>249312</v>
      </c>
      <c r="S223" s="14">
        <v>255990</v>
      </c>
      <c r="T223" s="14">
        <v>195888</v>
      </c>
      <c r="U223" s="14">
        <v>278250</v>
      </c>
      <c r="V223" s="14">
        <v>229278</v>
      </c>
      <c r="W223" s="14">
        <v>238182</v>
      </c>
      <c r="X223" s="14">
        <v>126882</v>
      </c>
      <c r="Y223" s="14">
        <v>211470</v>
      </c>
      <c r="Z223" s="14">
        <v>235956</v>
      </c>
      <c r="AA223" s="14">
        <v>162498</v>
      </c>
      <c r="AB223" s="13">
        <f t="shared" si="7"/>
        <v>2773596</v>
      </c>
    </row>
    <row r="224" spans="1:28" x14ac:dyDescent="0.3">
      <c r="A224" s="11"/>
      <c r="B224" s="12" t="s">
        <v>266</v>
      </c>
      <c r="C224" s="14">
        <v>21</v>
      </c>
      <c r="D224" s="14">
        <v>27</v>
      </c>
      <c r="E224" s="14">
        <v>19</v>
      </c>
      <c r="F224" s="14">
        <v>20</v>
      </c>
      <c r="G224" s="14">
        <v>26</v>
      </c>
      <c r="H224" s="14">
        <v>80</v>
      </c>
      <c r="I224" s="14">
        <v>109</v>
      </c>
      <c r="J224" s="14">
        <v>150</v>
      </c>
      <c r="K224" s="14">
        <v>184</v>
      </c>
      <c r="L224" s="14">
        <v>176</v>
      </c>
      <c r="M224" s="14">
        <v>175</v>
      </c>
      <c r="N224" s="14">
        <v>151</v>
      </c>
      <c r="O224" s="13">
        <f t="shared" si="6"/>
        <v>1138</v>
      </c>
      <c r="P224" s="14">
        <v>46746</v>
      </c>
      <c r="Q224" s="14">
        <v>60102</v>
      </c>
      <c r="R224" s="14">
        <v>42294</v>
      </c>
      <c r="S224" s="14">
        <v>44520</v>
      </c>
      <c r="T224" s="14">
        <v>57876</v>
      </c>
      <c r="U224" s="14">
        <v>178080</v>
      </c>
      <c r="V224" s="14">
        <v>242634</v>
      </c>
      <c r="W224" s="14">
        <v>333900</v>
      </c>
      <c r="X224" s="14">
        <v>409584</v>
      </c>
      <c r="Y224" s="14">
        <v>391776</v>
      </c>
      <c r="Z224" s="14">
        <v>389550</v>
      </c>
      <c r="AA224" s="14">
        <v>336126</v>
      </c>
      <c r="AB224" s="13">
        <f t="shared" si="7"/>
        <v>2533188</v>
      </c>
    </row>
    <row r="225" spans="1:28" x14ac:dyDescent="0.3">
      <c r="A225" s="11"/>
      <c r="B225" s="12" t="s">
        <v>368</v>
      </c>
      <c r="C225" s="14">
        <v>36</v>
      </c>
      <c r="D225" s="14">
        <v>48</v>
      </c>
      <c r="E225" s="14">
        <v>35</v>
      </c>
      <c r="F225" s="14">
        <v>68</v>
      </c>
      <c r="G225" s="14">
        <v>42</v>
      </c>
      <c r="H225" s="14">
        <v>72</v>
      </c>
      <c r="I225" s="14">
        <v>46</v>
      </c>
      <c r="J225" s="14">
        <v>42</v>
      </c>
      <c r="K225" s="14"/>
      <c r="L225" s="14"/>
      <c r="M225" s="14"/>
      <c r="N225" s="14"/>
      <c r="O225" s="13">
        <f t="shared" si="6"/>
        <v>389</v>
      </c>
      <c r="P225" s="14">
        <v>74592</v>
      </c>
      <c r="Q225" s="14">
        <v>99456</v>
      </c>
      <c r="R225" s="14">
        <v>72520</v>
      </c>
      <c r="S225" s="14">
        <v>140896</v>
      </c>
      <c r="T225" s="14">
        <v>87024</v>
      </c>
      <c r="U225" s="14">
        <v>149184</v>
      </c>
      <c r="V225" s="14">
        <v>95312</v>
      </c>
      <c r="W225" s="14">
        <v>87024</v>
      </c>
      <c r="X225" s="14"/>
      <c r="Y225" s="14"/>
      <c r="Z225" s="14"/>
      <c r="AA225" s="14"/>
      <c r="AB225" s="13">
        <f t="shared" si="7"/>
        <v>806008</v>
      </c>
    </row>
    <row r="226" spans="1:28" x14ac:dyDescent="0.3">
      <c r="A226" s="11"/>
      <c r="B226" s="12" t="s">
        <v>397</v>
      </c>
      <c r="C226" s="14">
        <v>3041</v>
      </c>
      <c r="D226" s="14">
        <v>2691</v>
      </c>
      <c r="E226" s="14">
        <v>2818</v>
      </c>
      <c r="F226" s="14">
        <v>2380</v>
      </c>
      <c r="G226" s="14">
        <v>1547</v>
      </c>
      <c r="H226" s="14">
        <v>2753</v>
      </c>
      <c r="I226" s="14">
        <v>2833</v>
      </c>
      <c r="J226" s="14">
        <v>2834</v>
      </c>
      <c r="K226" s="14">
        <v>1379</v>
      </c>
      <c r="L226" s="14">
        <v>1584</v>
      </c>
      <c r="M226" s="14">
        <v>1523</v>
      </c>
      <c r="N226" s="14">
        <v>2453</v>
      </c>
      <c r="O226" s="13">
        <f t="shared" si="6"/>
        <v>27836</v>
      </c>
      <c r="P226" s="14">
        <v>6300952</v>
      </c>
      <c r="Q226" s="14">
        <v>5575752</v>
      </c>
      <c r="R226" s="14">
        <v>5838896</v>
      </c>
      <c r="S226" s="14">
        <v>4931360</v>
      </c>
      <c r="T226" s="14">
        <v>3205384</v>
      </c>
      <c r="U226" s="14">
        <v>5704216</v>
      </c>
      <c r="V226" s="14">
        <v>5869976</v>
      </c>
      <c r="W226" s="14">
        <v>5872048</v>
      </c>
      <c r="X226" s="14">
        <v>2857288</v>
      </c>
      <c r="Y226" s="14">
        <v>3282048</v>
      </c>
      <c r="Z226" s="14">
        <v>3155656</v>
      </c>
      <c r="AA226" s="14">
        <v>5082616</v>
      </c>
      <c r="AB226" s="13">
        <f t="shared" si="7"/>
        <v>57676192</v>
      </c>
    </row>
    <row r="227" spans="1:28" x14ac:dyDescent="0.3">
      <c r="A227" s="11"/>
      <c r="B227" s="12" t="s">
        <v>496</v>
      </c>
      <c r="C227" s="14">
        <v>106</v>
      </c>
      <c r="D227" s="14">
        <v>144</v>
      </c>
      <c r="E227" s="14">
        <v>102</v>
      </c>
      <c r="F227" s="14">
        <v>92</v>
      </c>
      <c r="G227" s="14">
        <v>64</v>
      </c>
      <c r="H227" s="14">
        <v>103</v>
      </c>
      <c r="I227" s="14">
        <v>95</v>
      </c>
      <c r="J227" s="14">
        <v>69</v>
      </c>
      <c r="K227" s="14">
        <v>82</v>
      </c>
      <c r="L227" s="14">
        <v>65</v>
      </c>
      <c r="M227" s="14">
        <v>75</v>
      </c>
      <c r="N227" s="14">
        <v>69</v>
      </c>
      <c r="O227" s="13">
        <f t="shared" si="6"/>
        <v>1066</v>
      </c>
      <c r="P227" s="14">
        <v>235956</v>
      </c>
      <c r="Q227" s="14">
        <v>320544</v>
      </c>
      <c r="R227" s="14">
        <v>227052</v>
      </c>
      <c r="S227" s="14">
        <v>204792</v>
      </c>
      <c r="T227" s="14">
        <v>142464</v>
      </c>
      <c r="U227" s="14">
        <v>229278</v>
      </c>
      <c r="V227" s="14">
        <v>211470</v>
      </c>
      <c r="W227" s="14">
        <v>153594</v>
      </c>
      <c r="X227" s="14">
        <v>182532</v>
      </c>
      <c r="Y227" s="14">
        <v>144690</v>
      </c>
      <c r="Z227" s="14">
        <v>166950</v>
      </c>
      <c r="AA227" s="14">
        <v>153594</v>
      </c>
      <c r="AB227" s="13">
        <f t="shared" si="7"/>
        <v>2372916</v>
      </c>
    </row>
    <row r="228" spans="1:28" x14ac:dyDescent="0.3">
      <c r="A228" s="11"/>
      <c r="B228" s="12" t="s">
        <v>508</v>
      </c>
      <c r="C228" s="14">
        <v>98</v>
      </c>
      <c r="D228" s="14">
        <v>106</v>
      </c>
      <c r="E228" s="14">
        <v>83</v>
      </c>
      <c r="F228" s="14">
        <v>90</v>
      </c>
      <c r="G228" s="14">
        <v>101</v>
      </c>
      <c r="H228" s="14">
        <v>114</v>
      </c>
      <c r="I228" s="14">
        <v>98</v>
      </c>
      <c r="J228" s="14">
        <v>100</v>
      </c>
      <c r="K228" s="14">
        <v>77</v>
      </c>
      <c r="L228" s="14">
        <v>75</v>
      </c>
      <c r="M228" s="14">
        <v>72</v>
      </c>
      <c r="N228" s="14">
        <v>77</v>
      </c>
      <c r="O228" s="13">
        <f t="shared" si="6"/>
        <v>1091</v>
      </c>
      <c r="P228" s="14">
        <v>218148</v>
      </c>
      <c r="Q228" s="14">
        <v>235956</v>
      </c>
      <c r="R228" s="14">
        <v>184758</v>
      </c>
      <c r="S228" s="14">
        <v>200340</v>
      </c>
      <c r="T228" s="14">
        <v>224826</v>
      </c>
      <c r="U228" s="14">
        <v>253764</v>
      </c>
      <c r="V228" s="14">
        <v>218148</v>
      </c>
      <c r="W228" s="14">
        <v>222600</v>
      </c>
      <c r="X228" s="14">
        <v>171402</v>
      </c>
      <c r="Y228" s="14">
        <v>166950</v>
      </c>
      <c r="Z228" s="14">
        <v>160272</v>
      </c>
      <c r="AA228" s="14">
        <v>171402</v>
      </c>
      <c r="AB228" s="13">
        <f t="shared" si="7"/>
        <v>2428566</v>
      </c>
    </row>
    <row r="229" spans="1:28" x14ac:dyDescent="0.3">
      <c r="A229" s="11"/>
      <c r="B229" s="12" t="s">
        <v>237</v>
      </c>
      <c r="C229" s="14">
        <v>25</v>
      </c>
      <c r="D229" s="14">
        <v>43</v>
      </c>
      <c r="E229" s="14">
        <v>27</v>
      </c>
      <c r="F229" s="14">
        <v>29</v>
      </c>
      <c r="G229" s="14">
        <v>32</v>
      </c>
      <c r="H229" s="14">
        <v>44</v>
      </c>
      <c r="I229" s="14">
        <v>26</v>
      </c>
      <c r="J229" s="14">
        <v>25</v>
      </c>
      <c r="K229" s="14">
        <v>84</v>
      </c>
      <c r="L229" s="14">
        <v>138</v>
      </c>
      <c r="M229" s="14">
        <v>101</v>
      </c>
      <c r="N229" s="14">
        <v>116</v>
      </c>
      <c r="O229" s="13">
        <f t="shared" si="6"/>
        <v>690</v>
      </c>
      <c r="P229" s="14">
        <v>55650</v>
      </c>
      <c r="Q229" s="14">
        <v>95718</v>
      </c>
      <c r="R229" s="14">
        <v>60102</v>
      </c>
      <c r="S229" s="14">
        <v>64554</v>
      </c>
      <c r="T229" s="14">
        <v>71232</v>
      </c>
      <c r="U229" s="14">
        <v>97944</v>
      </c>
      <c r="V229" s="14">
        <v>57876</v>
      </c>
      <c r="W229" s="14">
        <v>55650</v>
      </c>
      <c r="X229" s="14">
        <v>186984</v>
      </c>
      <c r="Y229" s="14">
        <v>307188</v>
      </c>
      <c r="Z229" s="14">
        <v>224826</v>
      </c>
      <c r="AA229" s="14">
        <v>258216</v>
      </c>
      <c r="AB229" s="13">
        <f t="shared" si="7"/>
        <v>1535940</v>
      </c>
    </row>
    <row r="230" spans="1:28" x14ac:dyDescent="0.3">
      <c r="A230" s="11"/>
      <c r="B230" s="12" t="s">
        <v>557</v>
      </c>
      <c r="C230" s="14">
        <v>3663</v>
      </c>
      <c r="D230" s="14">
        <v>3259</v>
      </c>
      <c r="E230" s="14">
        <v>3575</v>
      </c>
      <c r="F230" s="14">
        <v>3132</v>
      </c>
      <c r="G230" s="14">
        <v>2841</v>
      </c>
      <c r="H230" s="14">
        <v>4405</v>
      </c>
      <c r="I230" s="14">
        <v>4676</v>
      </c>
      <c r="J230" s="14">
        <v>5035</v>
      </c>
      <c r="K230" s="14">
        <v>5456</v>
      </c>
      <c r="L230" s="14">
        <v>5085</v>
      </c>
      <c r="M230" s="14">
        <v>4792</v>
      </c>
      <c r="N230" s="14">
        <v>4332</v>
      </c>
      <c r="O230" s="13">
        <f t="shared" si="6"/>
        <v>50251</v>
      </c>
      <c r="P230" s="14">
        <v>8153838</v>
      </c>
      <c r="Q230" s="14">
        <v>7254534</v>
      </c>
      <c r="R230" s="14">
        <v>7957950</v>
      </c>
      <c r="S230" s="14">
        <v>6971832</v>
      </c>
      <c r="T230" s="14">
        <v>6324066</v>
      </c>
      <c r="U230" s="14">
        <v>9805530</v>
      </c>
      <c r="V230" s="14">
        <v>10408776</v>
      </c>
      <c r="W230" s="14">
        <v>11207910</v>
      </c>
      <c r="X230" s="14">
        <v>12145056</v>
      </c>
      <c r="Y230" s="14">
        <v>11319210</v>
      </c>
      <c r="Z230" s="14">
        <v>10666992</v>
      </c>
      <c r="AA230" s="14">
        <v>9643032</v>
      </c>
      <c r="AB230" s="13">
        <f t="shared" si="7"/>
        <v>111858726</v>
      </c>
    </row>
    <row r="231" spans="1:28" x14ac:dyDescent="0.3">
      <c r="A231" s="11"/>
      <c r="B231" s="12" t="s">
        <v>393</v>
      </c>
      <c r="C231" s="14">
        <v>2350</v>
      </c>
      <c r="D231" s="14">
        <v>2097</v>
      </c>
      <c r="E231" s="14">
        <v>2172</v>
      </c>
      <c r="F231" s="14">
        <v>1905</v>
      </c>
      <c r="G231" s="14">
        <v>1366</v>
      </c>
      <c r="H231" s="14">
        <v>2190</v>
      </c>
      <c r="I231" s="14">
        <v>2135</v>
      </c>
      <c r="J231" s="14">
        <v>1803</v>
      </c>
      <c r="K231" s="14">
        <v>1079</v>
      </c>
      <c r="L231" s="14">
        <v>1199</v>
      </c>
      <c r="M231" s="14">
        <v>1604</v>
      </c>
      <c r="N231" s="14">
        <v>2193</v>
      </c>
      <c r="O231" s="13">
        <f t="shared" si="6"/>
        <v>22093</v>
      </c>
      <c r="P231" s="14">
        <v>4869200</v>
      </c>
      <c r="Q231" s="14">
        <v>4344984</v>
      </c>
      <c r="R231" s="14">
        <v>4500384</v>
      </c>
      <c r="S231" s="14">
        <v>3947160</v>
      </c>
      <c r="T231" s="14">
        <v>2830352</v>
      </c>
      <c r="U231" s="14">
        <v>4537680</v>
      </c>
      <c r="V231" s="14">
        <v>4423720</v>
      </c>
      <c r="W231" s="14">
        <v>3735816</v>
      </c>
      <c r="X231" s="14">
        <v>2235688</v>
      </c>
      <c r="Y231" s="14">
        <v>2484328</v>
      </c>
      <c r="Z231" s="14">
        <v>3323488</v>
      </c>
      <c r="AA231" s="14">
        <v>4543896</v>
      </c>
      <c r="AB231" s="13">
        <f t="shared" si="7"/>
        <v>45776696</v>
      </c>
    </row>
    <row r="232" spans="1:28" x14ac:dyDescent="0.3">
      <c r="A232" s="11"/>
      <c r="B232" s="12" t="s">
        <v>532</v>
      </c>
      <c r="C232" s="14">
        <v>356</v>
      </c>
      <c r="D232" s="14">
        <v>508</v>
      </c>
      <c r="E232" s="14">
        <v>491</v>
      </c>
      <c r="F232" s="14">
        <v>491</v>
      </c>
      <c r="G232" s="14">
        <v>367</v>
      </c>
      <c r="H232" s="14">
        <v>473</v>
      </c>
      <c r="I232" s="14">
        <v>464</v>
      </c>
      <c r="J232" s="14">
        <v>432</v>
      </c>
      <c r="K232" s="14">
        <v>328</v>
      </c>
      <c r="L232" s="14">
        <v>318</v>
      </c>
      <c r="M232" s="14">
        <v>292</v>
      </c>
      <c r="N232" s="14">
        <v>229</v>
      </c>
      <c r="O232" s="13">
        <f t="shared" si="6"/>
        <v>4749</v>
      </c>
      <c r="P232" s="14">
        <v>792456</v>
      </c>
      <c r="Q232" s="14">
        <v>1130808</v>
      </c>
      <c r="R232" s="14">
        <v>1092966</v>
      </c>
      <c r="S232" s="14">
        <v>1092966</v>
      </c>
      <c r="T232" s="14">
        <v>816942</v>
      </c>
      <c r="U232" s="14">
        <v>1052898</v>
      </c>
      <c r="V232" s="14">
        <v>1032864</v>
      </c>
      <c r="W232" s="14">
        <v>961632</v>
      </c>
      <c r="X232" s="14">
        <v>730128</v>
      </c>
      <c r="Y232" s="14">
        <v>707868</v>
      </c>
      <c r="Z232" s="14">
        <v>649992</v>
      </c>
      <c r="AA232" s="14">
        <v>509754</v>
      </c>
      <c r="AB232" s="13">
        <f t="shared" si="7"/>
        <v>10571274</v>
      </c>
    </row>
    <row r="233" spans="1:28" x14ac:dyDescent="0.3">
      <c r="A233" s="11"/>
      <c r="B233" s="12" t="s">
        <v>338</v>
      </c>
      <c r="C233" s="14">
        <v>82</v>
      </c>
      <c r="D233" s="14">
        <v>113</v>
      </c>
      <c r="E233" s="14">
        <v>92</v>
      </c>
      <c r="F233" s="14">
        <v>91</v>
      </c>
      <c r="G233" s="14">
        <v>77</v>
      </c>
      <c r="H233" s="14">
        <v>127</v>
      </c>
      <c r="I233" s="14">
        <v>75</v>
      </c>
      <c r="J233" s="14">
        <v>71</v>
      </c>
      <c r="K233" s="14">
        <v>79</v>
      </c>
      <c r="L233" s="14">
        <v>83</v>
      </c>
      <c r="M233" s="14">
        <v>119</v>
      </c>
      <c r="N233" s="14">
        <v>162</v>
      </c>
      <c r="O233" s="13">
        <f t="shared" si="6"/>
        <v>1171</v>
      </c>
      <c r="P233" s="14">
        <v>182532</v>
      </c>
      <c r="Q233" s="14">
        <v>251538</v>
      </c>
      <c r="R233" s="14">
        <v>204792</v>
      </c>
      <c r="S233" s="14">
        <v>202566</v>
      </c>
      <c r="T233" s="14">
        <v>171402</v>
      </c>
      <c r="U233" s="14">
        <v>282702</v>
      </c>
      <c r="V233" s="14">
        <v>166950</v>
      </c>
      <c r="W233" s="14">
        <v>158046</v>
      </c>
      <c r="X233" s="14">
        <v>175854</v>
      </c>
      <c r="Y233" s="14">
        <v>184758</v>
      </c>
      <c r="Z233" s="14">
        <v>264894</v>
      </c>
      <c r="AA233" s="14">
        <v>360612</v>
      </c>
      <c r="AB233" s="13">
        <f t="shared" si="7"/>
        <v>2606646</v>
      </c>
    </row>
    <row r="234" spans="1:28" x14ac:dyDescent="0.3">
      <c r="A234" s="11"/>
      <c r="B234" s="12" t="s">
        <v>339</v>
      </c>
      <c r="C234" s="14">
        <v>161</v>
      </c>
      <c r="D234" s="14">
        <v>206</v>
      </c>
      <c r="E234" s="14">
        <v>161</v>
      </c>
      <c r="F234" s="14">
        <v>127</v>
      </c>
      <c r="G234" s="14">
        <v>124</v>
      </c>
      <c r="H234" s="14">
        <v>205</v>
      </c>
      <c r="I234" s="14">
        <v>107</v>
      </c>
      <c r="J234" s="14">
        <v>85</v>
      </c>
      <c r="K234" s="14">
        <v>60</v>
      </c>
      <c r="L234" s="14">
        <v>34</v>
      </c>
      <c r="M234" s="14">
        <v>7</v>
      </c>
      <c r="N234" s="14">
        <v>67</v>
      </c>
      <c r="O234" s="13">
        <f t="shared" si="6"/>
        <v>1344</v>
      </c>
      <c r="P234" s="14">
        <v>358386</v>
      </c>
      <c r="Q234" s="14">
        <v>458556</v>
      </c>
      <c r="R234" s="14">
        <v>358386</v>
      </c>
      <c r="S234" s="14">
        <v>282702</v>
      </c>
      <c r="T234" s="14">
        <v>276024</v>
      </c>
      <c r="U234" s="14">
        <v>456330</v>
      </c>
      <c r="V234" s="14">
        <v>238182</v>
      </c>
      <c r="W234" s="14">
        <v>189210</v>
      </c>
      <c r="X234" s="14">
        <v>133560</v>
      </c>
      <c r="Y234" s="14">
        <v>75684</v>
      </c>
      <c r="Z234" s="14">
        <v>15582</v>
      </c>
      <c r="AA234" s="14">
        <v>149142</v>
      </c>
      <c r="AB234" s="13">
        <f t="shared" si="7"/>
        <v>2991744</v>
      </c>
    </row>
    <row r="235" spans="1:28" x14ac:dyDescent="0.3">
      <c r="A235" s="11"/>
      <c r="B235" s="12" t="s">
        <v>323</v>
      </c>
      <c r="C235" s="14">
        <v>78</v>
      </c>
      <c r="D235" s="14">
        <v>203</v>
      </c>
      <c r="E235" s="14">
        <v>153</v>
      </c>
      <c r="F235" s="14">
        <v>211</v>
      </c>
      <c r="G235" s="14">
        <v>219</v>
      </c>
      <c r="H235" s="14">
        <v>267</v>
      </c>
      <c r="I235" s="14">
        <v>894</v>
      </c>
      <c r="J235" s="14">
        <v>1443</v>
      </c>
      <c r="K235" s="14">
        <v>1318</v>
      </c>
      <c r="L235" s="14">
        <v>1329</v>
      </c>
      <c r="M235" s="14">
        <v>1258</v>
      </c>
      <c r="N235" s="14">
        <v>953</v>
      </c>
      <c r="O235" s="13">
        <f t="shared" si="6"/>
        <v>8326</v>
      </c>
      <c r="P235" s="14">
        <v>173628</v>
      </c>
      <c r="Q235" s="14">
        <v>451878</v>
      </c>
      <c r="R235" s="14">
        <v>340578</v>
      </c>
      <c r="S235" s="14">
        <v>469686</v>
      </c>
      <c r="T235" s="14">
        <v>487494</v>
      </c>
      <c r="U235" s="14">
        <v>594342</v>
      </c>
      <c r="V235" s="14">
        <v>1990044</v>
      </c>
      <c r="W235" s="14">
        <v>3212118</v>
      </c>
      <c r="X235" s="14">
        <v>2933868</v>
      </c>
      <c r="Y235" s="14">
        <v>2958354</v>
      </c>
      <c r="Z235" s="14">
        <v>2800308</v>
      </c>
      <c r="AA235" s="14">
        <v>2121378</v>
      </c>
      <c r="AB235" s="13">
        <f t="shared" si="7"/>
        <v>18533676</v>
      </c>
    </row>
    <row r="236" spans="1:28" x14ac:dyDescent="0.3">
      <c r="A236" s="11"/>
      <c r="B236" s="12" t="s">
        <v>390</v>
      </c>
      <c r="C236" s="14">
        <v>2935</v>
      </c>
      <c r="D236" s="14">
        <v>2760</v>
      </c>
      <c r="E236" s="14">
        <v>2807</v>
      </c>
      <c r="F236" s="14">
        <v>2556</v>
      </c>
      <c r="G236" s="14">
        <v>2151</v>
      </c>
      <c r="H236" s="14">
        <v>3360</v>
      </c>
      <c r="I236" s="14">
        <v>2482</v>
      </c>
      <c r="J236" s="14">
        <v>2595</v>
      </c>
      <c r="K236" s="14">
        <v>1841</v>
      </c>
      <c r="L236" s="14">
        <v>2035</v>
      </c>
      <c r="M236" s="14">
        <v>2027</v>
      </c>
      <c r="N236" s="14">
        <v>3315</v>
      </c>
      <c r="O236" s="13">
        <f t="shared" si="6"/>
        <v>30864</v>
      </c>
      <c r="P236" s="14">
        <v>6081320</v>
      </c>
      <c r="Q236" s="14">
        <v>5718720</v>
      </c>
      <c r="R236" s="14">
        <v>5816104</v>
      </c>
      <c r="S236" s="14">
        <v>5296032</v>
      </c>
      <c r="T236" s="14">
        <v>4456872</v>
      </c>
      <c r="U236" s="14">
        <v>6961920</v>
      </c>
      <c r="V236" s="14">
        <v>5142704</v>
      </c>
      <c r="W236" s="14">
        <v>5376840</v>
      </c>
      <c r="X236" s="14">
        <v>3814552</v>
      </c>
      <c r="Y236" s="14">
        <v>4216520</v>
      </c>
      <c r="Z236" s="14">
        <v>4199944</v>
      </c>
      <c r="AA236" s="14">
        <v>6868680</v>
      </c>
      <c r="AB236" s="13">
        <f t="shared" si="7"/>
        <v>63950208</v>
      </c>
    </row>
    <row r="237" spans="1:28" x14ac:dyDescent="0.3">
      <c r="A237" s="11"/>
      <c r="B237" s="12" t="s">
        <v>533</v>
      </c>
      <c r="C237" s="14">
        <v>19</v>
      </c>
      <c r="D237" s="14">
        <v>19</v>
      </c>
      <c r="E237" s="14">
        <v>9</v>
      </c>
      <c r="F237" s="14">
        <v>19</v>
      </c>
      <c r="G237" s="14">
        <v>23</v>
      </c>
      <c r="H237" s="14">
        <v>39</v>
      </c>
      <c r="I237" s="14">
        <v>17</v>
      </c>
      <c r="J237" s="14">
        <v>18</v>
      </c>
      <c r="K237" s="14">
        <v>13</v>
      </c>
      <c r="L237" s="14">
        <v>24</v>
      </c>
      <c r="M237" s="14">
        <v>17</v>
      </c>
      <c r="N237" s="14">
        <v>15</v>
      </c>
      <c r="O237" s="13">
        <f t="shared" si="6"/>
        <v>232</v>
      </c>
      <c r="P237" s="14">
        <v>42294</v>
      </c>
      <c r="Q237" s="14">
        <v>42294</v>
      </c>
      <c r="R237" s="14">
        <v>20034</v>
      </c>
      <c r="S237" s="14">
        <v>42294</v>
      </c>
      <c r="T237" s="14">
        <v>51198</v>
      </c>
      <c r="U237" s="14">
        <v>86814</v>
      </c>
      <c r="V237" s="14">
        <v>37842</v>
      </c>
      <c r="W237" s="14">
        <v>40068</v>
      </c>
      <c r="X237" s="14">
        <v>28938</v>
      </c>
      <c r="Y237" s="14">
        <v>53424</v>
      </c>
      <c r="Z237" s="14">
        <v>37842</v>
      </c>
      <c r="AA237" s="14">
        <v>33390</v>
      </c>
      <c r="AB237" s="13">
        <f t="shared" si="7"/>
        <v>516432</v>
      </c>
    </row>
    <row r="238" spans="1:28" x14ac:dyDescent="0.3">
      <c r="A238" s="11"/>
      <c r="B238" s="12" t="s">
        <v>267</v>
      </c>
      <c r="C238" s="14">
        <v>14</v>
      </c>
      <c r="D238" s="14">
        <v>13</v>
      </c>
      <c r="E238" s="14">
        <v>9</v>
      </c>
      <c r="F238" s="14">
        <v>9</v>
      </c>
      <c r="G238" s="14">
        <v>15</v>
      </c>
      <c r="H238" s="14">
        <v>36</v>
      </c>
      <c r="I238" s="14">
        <v>10</v>
      </c>
      <c r="J238" s="14">
        <v>20</v>
      </c>
      <c r="K238" s="14">
        <v>9</v>
      </c>
      <c r="L238" s="14"/>
      <c r="M238" s="14">
        <v>12</v>
      </c>
      <c r="N238" s="14">
        <v>9</v>
      </c>
      <c r="O238" s="13">
        <f t="shared" si="6"/>
        <v>156</v>
      </c>
      <c r="P238" s="14">
        <v>31164</v>
      </c>
      <c r="Q238" s="14">
        <v>28938</v>
      </c>
      <c r="R238" s="14">
        <v>20034</v>
      </c>
      <c r="S238" s="14">
        <v>20034</v>
      </c>
      <c r="T238" s="14">
        <v>33390</v>
      </c>
      <c r="U238" s="14">
        <v>80136</v>
      </c>
      <c r="V238" s="14">
        <v>22260</v>
      </c>
      <c r="W238" s="14">
        <v>44520</v>
      </c>
      <c r="X238" s="14">
        <v>20034</v>
      </c>
      <c r="Y238" s="14"/>
      <c r="Z238" s="14">
        <v>26712</v>
      </c>
      <c r="AA238" s="14">
        <v>20034</v>
      </c>
      <c r="AB238" s="13">
        <f t="shared" si="7"/>
        <v>347256</v>
      </c>
    </row>
    <row r="239" spans="1:28" x14ac:dyDescent="0.3">
      <c r="A239" s="11"/>
      <c r="B239" s="12" t="s">
        <v>497</v>
      </c>
      <c r="C239" s="14">
        <v>160</v>
      </c>
      <c r="D239" s="14">
        <v>203</v>
      </c>
      <c r="E239" s="14">
        <v>145</v>
      </c>
      <c r="F239" s="14">
        <v>119</v>
      </c>
      <c r="G239" s="14">
        <v>132</v>
      </c>
      <c r="H239" s="14">
        <v>136</v>
      </c>
      <c r="I239" s="14">
        <v>145</v>
      </c>
      <c r="J239" s="14">
        <v>99</v>
      </c>
      <c r="K239" s="14">
        <v>89</v>
      </c>
      <c r="L239" s="14">
        <v>101</v>
      </c>
      <c r="M239" s="14">
        <v>105</v>
      </c>
      <c r="N239" s="14">
        <v>111</v>
      </c>
      <c r="O239" s="13">
        <f t="shared" si="6"/>
        <v>1545</v>
      </c>
      <c r="P239" s="14">
        <v>356160</v>
      </c>
      <c r="Q239" s="14">
        <v>451878</v>
      </c>
      <c r="R239" s="14">
        <v>322770</v>
      </c>
      <c r="S239" s="14">
        <v>264894</v>
      </c>
      <c r="T239" s="14">
        <v>293832</v>
      </c>
      <c r="U239" s="14">
        <v>302736</v>
      </c>
      <c r="V239" s="14">
        <v>322770</v>
      </c>
      <c r="W239" s="14">
        <v>220374</v>
      </c>
      <c r="X239" s="14">
        <v>198114</v>
      </c>
      <c r="Y239" s="14">
        <v>224826</v>
      </c>
      <c r="Z239" s="14">
        <v>233730</v>
      </c>
      <c r="AA239" s="14">
        <v>247086</v>
      </c>
      <c r="AB239" s="13">
        <f t="shared" si="7"/>
        <v>3439170</v>
      </c>
    </row>
    <row r="240" spans="1:28" x14ac:dyDescent="0.3">
      <c r="A240" s="11"/>
      <c r="B240" s="12" t="s">
        <v>235</v>
      </c>
      <c r="C240" s="14">
        <v>223</v>
      </c>
      <c r="D240" s="14">
        <v>211</v>
      </c>
      <c r="E240" s="14">
        <v>205</v>
      </c>
      <c r="F240" s="14">
        <v>165</v>
      </c>
      <c r="G240" s="14">
        <v>141</v>
      </c>
      <c r="H240" s="14">
        <v>153</v>
      </c>
      <c r="I240" s="14">
        <v>162</v>
      </c>
      <c r="J240" s="14">
        <v>166</v>
      </c>
      <c r="K240" s="14">
        <v>166</v>
      </c>
      <c r="L240" s="14">
        <v>150</v>
      </c>
      <c r="M240" s="14">
        <v>144</v>
      </c>
      <c r="N240" s="14">
        <v>155</v>
      </c>
      <c r="O240" s="13">
        <f t="shared" si="6"/>
        <v>2041</v>
      </c>
      <c r="P240" s="14">
        <v>496398</v>
      </c>
      <c r="Q240" s="14">
        <v>469686</v>
      </c>
      <c r="R240" s="14">
        <v>456330</v>
      </c>
      <c r="S240" s="14">
        <v>367290</v>
      </c>
      <c r="T240" s="14">
        <v>313866</v>
      </c>
      <c r="U240" s="14">
        <v>340578</v>
      </c>
      <c r="V240" s="14">
        <v>360612</v>
      </c>
      <c r="W240" s="14">
        <v>369516</v>
      </c>
      <c r="X240" s="14">
        <v>369516</v>
      </c>
      <c r="Y240" s="14">
        <v>333900</v>
      </c>
      <c r="Z240" s="14">
        <v>320544</v>
      </c>
      <c r="AA240" s="14">
        <v>345030</v>
      </c>
      <c r="AB240" s="13">
        <f t="shared" si="7"/>
        <v>4543266</v>
      </c>
    </row>
    <row r="241" spans="1:28" x14ac:dyDescent="0.3">
      <c r="A241" s="11"/>
      <c r="B241" s="12" t="s">
        <v>517</v>
      </c>
      <c r="C241" s="14">
        <v>16</v>
      </c>
      <c r="D241" s="14">
        <v>20</v>
      </c>
      <c r="E241" s="14">
        <v>9</v>
      </c>
      <c r="F241" s="14">
        <v>17</v>
      </c>
      <c r="G241" s="14">
        <v>19</v>
      </c>
      <c r="H241" s="14">
        <v>30</v>
      </c>
      <c r="I241" s="14">
        <v>18</v>
      </c>
      <c r="J241" s="14">
        <v>16</v>
      </c>
      <c r="K241" s="14">
        <v>13</v>
      </c>
      <c r="L241" s="14">
        <v>7</v>
      </c>
      <c r="M241" s="14"/>
      <c r="N241" s="14"/>
      <c r="O241" s="13">
        <f t="shared" si="6"/>
        <v>165</v>
      </c>
      <c r="P241" s="14">
        <v>35616</v>
      </c>
      <c r="Q241" s="14">
        <v>44520</v>
      </c>
      <c r="R241" s="14">
        <v>20034</v>
      </c>
      <c r="S241" s="14">
        <v>37842</v>
      </c>
      <c r="T241" s="14">
        <v>42294</v>
      </c>
      <c r="U241" s="14">
        <v>66780</v>
      </c>
      <c r="V241" s="14">
        <v>40068</v>
      </c>
      <c r="W241" s="14">
        <v>35616</v>
      </c>
      <c r="X241" s="14">
        <v>28938</v>
      </c>
      <c r="Y241" s="14">
        <v>15582</v>
      </c>
      <c r="Z241" s="14"/>
      <c r="AA241" s="14"/>
      <c r="AB241" s="13">
        <f t="shared" si="7"/>
        <v>367290</v>
      </c>
    </row>
    <row r="242" spans="1:28" x14ac:dyDescent="0.3">
      <c r="A242" s="11"/>
      <c r="B242" s="12" t="s">
        <v>268</v>
      </c>
      <c r="C242" s="14"/>
      <c r="D242" s="14">
        <v>22</v>
      </c>
      <c r="E242" s="14"/>
      <c r="F242" s="14">
        <v>7</v>
      </c>
      <c r="G242" s="14">
        <v>20</v>
      </c>
      <c r="H242" s="14">
        <v>76</v>
      </c>
      <c r="I242" s="14"/>
      <c r="J242" s="14"/>
      <c r="K242" s="14">
        <v>7</v>
      </c>
      <c r="L242" s="14"/>
      <c r="M242" s="14"/>
      <c r="N242" s="14"/>
      <c r="O242" s="13">
        <f t="shared" si="6"/>
        <v>132</v>
      </c>
      <c r="P242" s="14"/>
      <c r="Q242" s="14">
        <v>48972</v>
      </c>
      <c r="R242" s="14"/>
      <c r="S242" s="14">
        <v>15582</v>
      </c>
      <c r="T242" s="14">
        <v>44520</v>
      </c>
      <c r="U242" s="14">
        <v>169176</v>
      </c>
      <c r="V242" s="14"/>
      <c r="W242" s="14"/>
      <c r="X242" s="14">
        <v>15582</v>
      </c>
      <c r="Y242" s="14"/>
      <c r="Z242" s="14"/>
      <c r="AA242" s="14"/>
      <c r="AB242" s="13">
        <f t="shared" si="7"/>
        <v>293832</v>
      </c>
    </row>
    <row r="243" spans="1:28" x14ac:dyDescent="0.3">
      <c r="A243" s="11"/>
      <c r="B243" s="12" t="s">
        <v>518</v>
      </c>
      <c r="C243" s="14">
        <v>270</v>
      </c>
      <c r="D243" s="14">
        <v>242</v>
      </c>
      <c r="E243" s="14">
        <v>258</v>
      </c>
      <c r="F243" s="14">
        <v>233</v>
      </c>
      <c r="G243" s="14">
        <v>106</v>
      </c>
      <c r="H243" s="14">
        <v>103</v>
      </c>
      <c r="I243" s="14">
        <v>107</v>
      </c>
      <c r="J243" s="14">
        <v>96</v>
      </c>
      <c r="K243" s="14">
        <v>86</v>
      </c>
      <c r="L243" s="14">
        <v>139</v>
      </c>
      <c r="M243" s="14">
        <v>140</v>
      </c>
      <c r="N243" s="14">
        <v>208</v>
      </c>
      <c r="O243" s="13">
        <f t="shared" si="6"/>
        <v>1988</v>
      </c>
      <c r="P243" s="14">
        <v>601020</v>
      </c>
      <c r="Q243" s="14">
        <v>538692</v>
      </c>
      <c r="R243" s="14">
        <v>574308</v>
      </c>
      <c r="S243" s="14">
        <v>518658</v>
      </c>
      <c r="T243" s="14">
        <v>235956</v>
      </c>
      <c r="U243" s="14">
        <v>229278</v>
      </c>
      <c r="V243" s="14">
        <v>238182</v>
      </c>
      <c r="W243" s="14">
        <v>213696</v>
      </c>
      <c r="X243" s="14">
        <v>191436</v>
      </c>
      <c r="Y243" s="14">
        <v>309414</v>
      </c>
      <c r="Z243" s="14">
        <v>311640</v>
      </c>
      <c r="AA243" s="14">
        <v>463008</v>
      </c>
      <c r="AB243" s="13">
        <f t="shared" si="7"/>
        <v>4425288</v>
      </c>
    </row>
    <row r="244" spans="1:28" x14ac:dyDescent="0.3">
      <c r="A244" s="11"/>
      <c r="B244" s="12" t="s">
        <v>298</v>
      </c>
      <c r="C244" s="14">
        <v>469</v>
      </c>
      <c r="D244" s="14">
        <v>629</v>
      </c>
      <c r="E244" s="14">
        <v>509</v>
      </c>
      <c r="F244" s="14">
        <v>456</v>
      </c>
      <c r="G244" s="14">
        <v>493</v>
      </c>
      <c r="H244" s="14">
        <v>588</v>
      </c>
      <c r="I244" s="14">
        <v>660</v>
      </c>
      <c r="J244" s="14">
        <v>635</v>
      </c>
      <c r="K244" s="14">
        <v>598</v>
      </c>
      <c r="L244" s="14">
        <v>592</v>
      </c>
      <c r="M244" s="14">
        <v>596</v>
      </c>
      <c r="N244" s="14">
        <v>528</v>
      </c>
      <c r="O244" s="13">
        <f t="shared" si="6"/>
        <v>6753</v>
      </c>
      <c r="P244" s="14">
        <v>971768</v>
      </c>
      <c r="Q244" s="14">
        <v>1303288</v>
      </c>
      <c r="R244" s="14">
        <v>1054648</v>
      </c>
      <c r="S244" s="14">
        <v>944832</v>
      </c>
      <c r="T244" s="14">
        <v>1021496</v>
      </c>
      <c r="U244" s="14">
        <v>1218336</v>
      </c>
      <c r="V244" s="14">
        <v>1367520</v>
      </c>
      <c r="W244" s="14">
        <v>1315720</v>
      </c>
      <c r="X244" s="14">
        <v>1239056</v>
      </c>
      <c r="Y244" s="14">
        <v>1226624</v>
      </c>
      <c r="Z244" s="14">
        <v>1234912</v>
      </c>
      <c r="AA244" s="14">
        <v>1094016</v>
      </c>
      <c r="AB244" s="13">
        <f t="shared" si="7"/>
        <v>13992216</v>
      </c>
    </row>
    <row r="245" spans="1:28" x14ac:dyDescent="0.3">
      <c r="A245" s="11"/>
      <c r="B245" s="12" t="s">
        <v>324</v>
      </c>
      <c r="C245" s="14">
        <v>113</v>
      </c>
      <c r="D245" s="14">
        <v>62</v>
      </c>
      <c r="E245" s="14">
        <v>29</v>
      </c>
      <c r="F245" s="14">
        <v>67</v>
      </c>
      <c r="G245" s="14">
        <v>550</v>
      </c>
      <c r="H245" s="14">
        <v>214</v>
      </c>
      <c r="I245" s="14"/>
      <c r="J245" s="14"/>
      <c r="K245" s="14"/>
      <c r="L245" s="14"/>
      <c r="M245" s="14"/>
      <c r="N245" s="14"/>
      <c r="O245" s="13">
        <f t="shared" si="6"/>
        <v>1035</v>
      </c>
      <c r="P245" s="14">
        <v>251538</v>
      </c>
      <c r="Q245" s="14">
        <v>138012</v>
      </c>
      <c r="R245" s="14">
        <v>64554</v>
      </c>
      <c r="S245" s="14">
        <v>149142</v>
      </c>
      <c r="T245" s="14">
        <v>1224300</v>
      </c>
      <c r="U245" s="14">
        <v>476364</v>
      </c>
      <c r="V245" s="14"/>
      <c r="W245" s="14"/>
      <c r="X245" s="14"/>
      <c r="Y245" s="14"/>
      <c r="Z245" s="14"/>
      <c r="AA245" s="14"/>
      <c r="AB245" s="13">
        <f t="shared" si="7"/>
        <v>2303910</v>
      </c>
    </row>
    <row r="246" spans="1:28" x14ac:dyDescent="0.3">
      <c r="A246" s="11"/>
      <c r="B246" s="12" t="s">
        <v>228</v>
      </c>
      <c r="C246" s="14">
        <v>324</v>
      </c>
      <c r="D246" s="14">
        <v>323</v>
      </c>
      <c r="E246" s="14">
        <v>307</v>
      </c>
      <c r="F246" s="14">
        <v>281</v>
      </c>
      <c r="G246" s="14">
        <v>291</v>
      </c>
      <c r="H246" s="14">
        <v>422</v>
      </c>
      <c r="I246" s="14">
        <v>861</v>
      </c>
      <c r="J246" s="14">
        <v>804</v>
      </c>
      <c r="K246" s="14">
        <v>715</v>
      </c>
      <c r="L246" s="14">
        <v>757</v>
      </c>
      <c r="M246" s="14">
        <v>863</v>
      </c>
      <c r="N246" s="14">
        <v>386</v>
      </c>
      <c r="O246" s="13">
        <f t="shared" si="6"/>
        <v>6334</v>
      </c>
      <c r="P246" s="14">
        <v>671328</v>
      </c>
      <c r="Q246" s="14">
        <v>669256</v>
      </c>
      <c r="R246" s="14">
        <v>636104</v>
      </c>
      <c r="S246" s="14">
        <v>582232</v>
      </c>
      <c r="T246" s="14">
        <v>602952</v>
      </c>
      <c r="U246" s="14">
        <v>874384</v>
      </c>
      <c r="V246" s="14">
        <v>1783992</v>
      </c>
      <c r="W246" s="14">
        <v>1665888</v>
      </c>
      <c r="X246" s="14">
        <v>1481480</v>
      </c>
      <c r="Y246" s="14">
        <v>1568504</v>
      </c>
      <c r="Z246" s="14">
        <v>1788136</v>
      </c>
      <c r="AA246" s="14">
        <v>799792</v>
      </c>
      <c r="AB246" s="13">
        <f t="shared" si="7"/>
        <v>13124048</v>
      </c>
    </row>
    <row r="247" spans="1:28" x14ac:dyDescent="0.3">
      <c r="A247" s="11"/>
      <c r="B247" s="12" t="s">
        <v>340</v>
      </c>
      <c r="C247" s="14">
        <v>8</v>
      </c>
      <c r="D247" s="14">
        <v>16</v>
      </c>
      <c r="E247" s="14">
        <v>7</v>
      </c>
      <c r="F247" s="14">
        <v>20</v>
      </c>
      <c r="G247" s="14">
        <v>35</v>
      </c>
      <c r="H247" s="14">
        <v>47</v>
      </c>
      <c r="I247" s="14">
        <v>6</v>
      </c>
      <c r="J247" s="14">
        <v>9</v>
      </c>
      <c r="K247" s="14">
        <v>22</v>
      </c>
      <c r="L247" s="14"/>
      <c r="M247" s="14">
        <v>43</v>
      </c>
      <c r="N247" s="14">
        <v>61</v>
      </c>
      <c r="O247" s="13">
        <f t="shared" si="6"/>
        <v>274</v>
      </c>
      <c r="P247" s="14">
        <v>17808</v>
      </c>
      <c r="Q247" s="14">
        <v>35616</v>
      </c>
      <c r="R247" s="14">
        <v>15582</v>
      </c>
      <c r="S247" s="14">
        <v>44520</v>
      </c>
      <c r="T247" s="14">
        <v>77910</v>
      </c>
      <c r="U247" s="14">
        <v>104622</v>
      </c>
      <c r="V247" s="14">
        <v>13356</v>
      </c>
      <c r="W247" s="14">
        <v>20034</v>
      </c>
      <c r="X247" s="14">
        <v>48972</v>
      </c>
      <c r="Y247" s="14"/>
      <c r="Z247" s="14">
        <v>95718</v>
      </c>
      <c r="AA247" s="14">
        <v>135786</v>
      </c>
      <c r="AB247" s="13">
        <f t="shared" si="7"/>
        <v>609924</v>
      </c>
    </row>
    <row r="248" spans="1:28" x14ac:dyDescent="0.3">
      <c r="A248" s="11"/>
      <c r="B248" s="12" t="s">
        <v>485</v>
      </c>
      <c r="C248" s="14">
        <v>50</v>
      </c>
      <c r="D248" s="14">
        <v>89</v>
      </c>
      <c r="E248" s="14">
        <v>150</v>
      </c>
      <c r="F248" s="14">
        <v>167</v>
      </c>
      <c r="G248" s="14">
        <v>82</v>
      </c>
      <c r="H248" s="14">
        <v>132</v>
      </c>
      <c r="I248" s="14">
        <v>133</v>
      </c>
      <c r="J248" s="14">
        <v>136</v>
      </c>
      <c r="K248" s="14">
        <v>73</v>
      </c>
      <c r="L248" s="14">
        <v>63</v>
      </c>
      <c r="M248" s="14">
        <v>66</v>
      </c>
      <c r="N248" s="14">
        <v>58</v>
      </c>
      <c r="O248" s="13">
        <f t="shared" si="6"/>
        <v>1199</v>
      </c>
      <c r="P248" s="14">
        <v>111300</v>
      </c>
      <c r="Q248" s="14">
        <v>198114</v>
      </c>
      <c r="R248" s="14">
        <v>333900</v>
      </c>
      <c r="S248" s="14">
        <v>371742</v>
      </c>
      <c r="T248" s="14">
        <v>182532</v>
      </c>
      <c r="U248" s="14">
        <v>293832</v>
      </c>
      <c r="V248" s="14">
        <v>296058</v>
      </c>
      <c r="W248" s="14">
        <v>302736</v>
      </c>
      <c r="X248" s="14">
        <v>162498</v>
      </c>
      <c r="Y248" s="14">
        <v>140238</v>
      </c>
      <c r="Z248" s="14">
        <v>146916</v>
      </c>
      <c r="AA248" s="14">
        <v>129108</v>
      </c>
      <c r="AB248" s="13">
        <f t="shared" si="7"/>
        <v>2668974</v>
      </c>
    </row>
    <row r="249" spans="1:28" x14ac:dyDescent="0.3">
      <c r="A249" s="11"/>
      <c r="B249" s="12" t="s">
        <v>519</v>
      </c>
      <c r="C249" s="14">
        <v>13</v>
      </c>
      <c r="D249" s="14">
        <v>15</v>
      </c>
      <c r="E249" s="14">
        <v>8</v>
      </c>
      <c r="F249" s="14">
        <v>8</v>
      </c>
      <c r="G249" s="14"/>
      <c r="H249" s="14">
        <v>11</v>
      </c>
      <c r="I249" s="14">
        <v>6</v>
      </c>
      <c r="J249" s="14">
        <v>8</v>
      </c>
      <c r="K249" s="14">
        <v>14</v>
      </c>
      <c r="L249" s="14">
        <v>9</v>
      </c>
      <c r="M249" s="14">
        <v>8</v>
      </c>
      <c r="N249" s="14">
        <v>102</v>
      </c>
      <c r="O249" s="13">
        <f t="shared" si="6"/>
        <v>202</v>
      </c>
      <c r="P249" s="14">
        <v>28938</v>
      </c>
      <c r="Q249" s="14">
        <v>33390</v>
      </c>
      <c r="R249" s="14">
        <v>17808</v>
      </c>
      <c r="S249" s="14">
        <v>17808</v>
      </c>
      <c r="T249" s="14"/>
      <c r="U249" s="14">
        <v>24486</v>
      </c>
      <c r="V249" s="14">
        <v>13356</v>
      </c>
      <c r="W249" s="14">
        <v>17808</v>
      </c>
      <c r="X249" s="14">
        <v>31164</v>
      </c>
      <c r="Y249" s="14">
        <v>20034</v>
      </c>
      <c r="Z249" s="14">
        <v>17808</v>
      </c>
      <c r="AA249" s="14">
        <v>227052</v>
      </c>
      <c r="AB249" s="13">
        <f t="shared" si="7"/>
        <v>449652</v>
      </c>
    </row>
    <row r="250" spans="1:28" x14ac:dyDescent="0.3">
      <c r="A250" s="11"/>
      <c r="B250" s="12" t="s">
        <v>269</v>
      </c>
      <c r="C250" s="14">
        <v>19</v>
      </c>
      <c r="D250" s="14">
        <v>23</v>
      </c>
      <c r="E250" s="14">
        <v>16</v>
      </c>
      <c r="F250" s="14">
        <v>25</v>
      </c>
      <c r="G250" s="14">
        <v>27</v>
      </c>
      <c r="H250" s="14">
        <v>54</v>
      </c>
      <c r="I250" s="14">
        <v>48</v>
      </c>
      <c r="J250" s="14">
        <v>18</v>
      </c>
      <c r="K250" s="14">
        <v>49</v>
      </c>
      <c r="L250" s="14">
        <v>11</v>
      </c>
      <c r="M250" s="14">
        <v>11</v>
      </c>
      <c r="N250" s="14">
        <v>10</v>
      </c>
      <c r="O250" s="13">
        <f t="shared" si="6"/>
        <v>311</v>
      </c>
      <c r="P250" s="14">
        <v>42294</v>
      </c>
      <c r="Q250" s="14">
        <v>51198</v>
      </c>
      <c r="R250" s="14">
        <v>35616</v>
      </c>
      <c r="S250" s="14">
        <v>55650</v>
      </c>
      <c r="T250" s="14">
        <v>60102</v>
      </c>
      <c r="U250" s="14">
        <v>120204</v>
      </c>
      <c r="V250" s="14">
        <v>106848</v>
      </c>
      <c r="W250" s="14">
        <v>40068</v>
      </c>
      <c r="X250" s="14">
        <v>109074</v>
      </c>
      <c r="Y250" s="14">
        <v>24486</v>
      </c>
      <c r="Z250" s="14">
        <v>24486</v>
      </c>
      <c r="AA250" s="14">
        <v>22260</v>
      </c>
      <c r="AB250" s="13">
        <f t="shared" si="7"/>
        <v>692286</v>
      </c>
    </row>
    <row r="251" spans="1:28" x14ac:dyDescent="0.3">
      <c r="A251" s="11"/>
      <c r="B251" s="12" t="s">
        <v>270</v>
      </c>
      <c r="C251" s="14">
        <v>19</v>
      </c>
      <c r="D251" s="14">
        <v>25</v>
      </c>
      <c r="E251" s="14">
        <v>21</v>
      </c>
      <c r="F251" s="14">
        <v>19</v>
      </c>
      <c r="G251" s="14">
        <v>14</v>
      </c>
      <c r="H251" s="14">
        <v>42</v>
      </c>
      <c r="I251" s="14">
        <v>18</v>
      </c>
      <c r="J251" s="14">
        <v>16</v>
      </c>
      <c r="K251" s="14">
        <v>23</v>
      </c>
      <c r="L251" s="14">
        <v>18</v>
      </c>
      <c r="M251" s="14">
        <v>24</v>
      </c>
      <c r="N251" s="14">
        <v>20</v>
      </c>
      <c r="O251" s="13">
        <f t="shared" si="6"/>
        <v>259</v>
      </c>
      <c r="P251" s="14">
        <v>42294</v>
      </c>
      <c r="Q251" s="14">
        <v>55650</v>
      </c>
      <c r="R251" s="14">
        <v>46746</v>
      </c>
      <c r="S251" s="14">
        <v>42294</v>
      </c>
      <c r="T251" s="14">
        <v>31164</v>
      </c>
      <c r="U251" s="14">
        <v>93492</v>
      </c>
      <c r="V251" s="14">
        <v>40068</v>
      </c>
      <c r="W251" s="14">
        <v>35616</v>
      </c>
      <c r="X251" s="14">
        <v>51198</v>
      </c>
      <c r="Y251" s="14">
        <v>40068</v>
      </c>
      <c r="Z251" s="14">
        <v>53424</v>
      </c>
      <c r="AA251" s="14">
        <v>44520</v>
      </c>
      <c r="AB251" s="13">
        <f t="shared" si="7"/>
        <v>576534</v>
      </c>
    </row>
    <row r="252" spans="1:28" x14ac:dyDescent="0.3">
      <c r="A252" s="11"/>
      <c r="B252" s="12" t="s">
        <v>520</v>
      </c>
      <c r="C252" s="14">
        <v>38</v>
      </c>
      <c r="D252" s="14">
        <v>46</v>
      </c>
      <c r="E252" s="14">
        <v>33</v>
      </c>
      <c r="F252" s="14">
        <v>23</v>
      </c>
      <c r="G252" s="14">
        <v>37</v>
      </c>
      <c r="H252" s="14">
        <v>59</v>
      </c>
      <c r="I252" s="14">
        <v>17</v>
      </c>
      <c r="J252" s="14">
        <v>35</v>
      </c>
      <c r="K252" s="14">
        <v>52</v>
      </c>
      <c r="L252" s="14">
        <v>56</v>
      </c>
      <c r="M252" s="14">
        <v>121</v>
      </c>
      <c r="N252" s="14">
        <v>50</v>
      </c>
      <c r="O252" s="13">
        <f t="shared" si="6"/>
        <v>567</v>
      </c>
      <c r="P252" s="14">
        <v>84588</v>
      </c>
      <c r="Q252" s="14">
        <v>102396</v>
      </c>
      <c r="R252" s="14">
        <v>73458</v>
      </c>
      <c r="S252" s="14">
        <v>51198</v>
      </c>
      <c r="T252" s="14">
        <v>82362</v>
      </c>
      <c r="U252" s="14">
        <v>131334</v>
      </c>
      <c r="V252" s="14">
        <v>37842</v>
      </c>
      <c r="W252" s="14">
        <v>77910</v>
      </c>
      <c r="X252" s="14">
        <v>115752</v>
      </c>
      <c r="Y252" s="14">
        <v>124656</v>
      </c>
      <c r="Z252" s="14">
        <v>269346</v>
      </c>
      <c r="AA252" s="14">
        <v>111300</v>
      </c>
      <c r="AB252" s="13">
        <f t="shared" si="7"/>
        <v>1262142</v>
      </c>
    </row>
    <row r="253" spans="1:28" x14ac:dyDescent="0.3">
      <c r="A253" s="11"/>
      <c r="B253" s="12" t="s">
        <v>521</v>
      </c>
      <c r="C253" s="14">
        <v>30</v>
      </c>
      <c r="D253" s="14">
        <v>33</v>
      </c>
      <c r="E253" s="14">
        <v>23</v>
      </c>
      <c r="F253" s="14">
        <v>27</v>
      </c>
      <c r="G253" s="14">
        <v>42</v>
      </c>
      <c r="H253" s="14">
        <v>66</v>
      </c>
      <c r="I253" s="14">
        <v>34</v>
      </c>
      <c r="J253" s="14">
        <v>25</v>
      </c>
      <c r="K253" s="14">
        <v>27</v>
      </c>
      <c r="L253" s="14">
        <v>15</v>
      </c>
      <c r="M253" s="14">
        <v>11</v>
      </c>
      <c r="N253" s="14">
        <v>18</v>
      </c>
      <c r="O253" s="13">
        <f t="shared" si="6"/>
        <v>351</v>
      </c>
      <c r="P253" s="14">
        <v>66780</v>
      </c>
      <c r="Q253" s="14">
        <v>73458</v>
      </c>
      <c r="R253" s="14">
        <v>51198</v>
      </c>
      <c r="S253" s="14">
        <v>60102</v>
      </c>
      <c r="T253" s="14">
        <v>93492</v>
      </c>
      <c r="U253" s="14">
        <v>146916</v>
      </c>
      <c r="V253" s="14">
        <v>75684</v>
      </c>
      <c r="W253" s="14">
        <v>55650</v>
      </c>
      <c r="X253" s="14">
        <v>60102</v>
      </c>
      <c r="Y253" s="14">
        <v>33390</v>
      </c>
      <c r="Z253" s="14">
        <v>24486</v>
      </c>
      <c r="AA253" s="14">
        <v>40068</v>
      </c>
      <c r="AB253" s="13">
        <f t="shared" si="7"/>
        <v>781326</v>
      </c>
    </row>
    <row r="254" spans="1:28" x14ac:dyDescent="0.3">
      <c r="A254" s="11"/>
      <c r="B254" s="12" t="s">
        <v>325</v>
      </c>
      <c r="C254" s="14">
        <v>213</v>
      </c>
      <c r="D254" s="14">
        <v>160</v>
      </c>
      <c r="E254" s="14">
        <v>62</v>
      </c>
      <c r="F254" s="14">
        <v>108</v>
      </c>
      <c r="G254" s="14">
        <v>68</v>
      </c>
      <c r="H254" s="14">
        <v>78</v>
      </c>
      <c r="I254" s="14">
        <v>83</v>
      </c>
      <c r="J254" s="14">
        <v>73</v>
      </c>
      <c r="K254" s="14">
        <v>89</v>
      </c>
      <c r="L254" s="14">
        <v>83</v>
      </c>
      <c r="M254" s="14">
        <v>78</v>
      </c>
      <c r="N254" s="14">
        <v>99</v>
      </c>
      <c r="O254" s="13">
        <f t="shared" si="6"/>
        <v>1194</v>
      </c>
      <c r="P254" s="14">
        <v>474138</v>
      </c>
      <c r="Q254" s="14">
        <v>356160</v>
      </c>
      <c r="R254" s="14">
        <v>138012</v>
      </c>
      <c r="S254" s="14">
        <v>240408</v>
      </c>
      <c r="T254" s="14">
        <v>151368</v>
      </c>
      <c r="U254" s="14">
        <v>173628</v>
      </c>
      <c r="V254" s="14">
        <v>184758</v>
      </c>
      <c r="W254" s="14">
        <v>162498</v>
      </c>
      <c r="X254" s="14">
        <v>198114</v>
      </c>
      <c r="Y254" s="14">
        <v>184758</v>
      </c>
      <c r="Z254" s="14">
        <v>173628</v>
      </c>
      <c r="AA254" s="14">
        <v>220374</v>
      </c>
      <c r="AB254" s="13">
        <f t="shared" si="7"/>
        <v>2657844</v>
      </c>
    </row>
    <row r="255" spans="1:28" x14ac:dyDescent="0.3">
      <c r="A255" s="11"/>
      <c r="B255" s="12" t="s">
        <v>359</v>
      </c>
      <c r="C255" s="14">
        <v>1809</v>
      </c>
      <c r="D255" s="14">
        <v>1523</v>
      </c>
      <c r="E255" s="14">
        <v>1602</v>
      </c>
      <c r="F255" s="14">
        <v>1531</v>
      </c>
      <c r="G255" s="14">
        <v>1056</v>
      </c>
      <c r="H255" s="14">
        <v>1669</v>
      </c>
      <c r="I255" s="14">
        <v>1581</v>
      </c>
      <c r="J255" s="14">
        <v>1698</v>
      </c>
      <c r="K255" s="14">
        <v>939</v>
      </c>
      <c r="L255" s="14">
        <v>1106</v>
      </c>
      <c r="M255" s="14">
        <v>1203</v>
      </c>
      <c r="N255" s="14">
        <v>1517</v>
      </c>
      <c r="O255" s="13">
        <f t="shared" si="6"/>
        <v>17234</v>
      </c>
      <c r="P255" s="14">
        <v>3748248</v>
      </c>
      <c r="Q255" s="14">
        <v>3155656</v>
      </c>
      <c r="R255" s="14">
        <v>3319344</v>
      </c>
      <c r="S255" s="14">
        <v>3172232</v>
      </c>
      <c r="T255" s="14">
        <v>2188032</v>
      </c>
      <c r="U255" s="14">
        <v>3458168</v>
      </c>
      <c r="V255" s="14">
        <v>3275832</v>
      </c>
      <c r="W255" s="14">
        <v>3518256</v>
      </c>
      <c r="X255" s="14">
        <v>1945608</v>
      </c>
      <c r="Y255" s="14">
        <v>2291632</v>
      </c>
      <c r="Z255" s="14">
        <v>2492616</v>
      </c>
      <c r="AA255" s="14">
        <v>3143224</v>
      </c>
      <c r="AB255" s="13">
        <f t="shared" si="7"/>
        <v>35708848</v>
      </c>
    </row>
    <row r="256" spans="1:28" x14ac:dyDescent="0.3">
      <c r="A256" s="11"/>
      <c r="B256" s="12" t="s">
        <v>161</v>
      </c>
      <c r="C256" s="14">
        <v>1632</v>
      </c>
      <c r="D256" s="14">
        <v>1928</v>
      </c>
      <c r="E256" s="14">
        <v>1452</v>
      </c>
      <c r="F256" s="14">
        <v>1244</v>
      </c>
      <c r="G256" s="14">
        <v>911</v>
      </c>
      <c r="H256" s="14">
        <v>1579</v>
      </c>
      <c r="I256" s="14">
        <v>1932</v>
      </c>
      <c r="J256" s="14">
        <v>1985</v>
      </c>
      <c r="K256" s="14">
        <v>1730</v>
      </c>
      <c r="L256" s="14">
        <v>1625</v>
      </c>
      <c r="M256" s="14">
        <v>1605</v>
      </c>
      <c r="N256" s="14">
        <v>782</v>
      </c>
      <c r="O256" s="13">
        <f t="shared" si="6"/>
        <v>18405</v>
      </c>
      <c r="P256" s="14">
        <v>3632832</v>
      </c>
      <c r="Q256" s="14">
        <v>4291728</v>
      </c>
      <c r="R256" s="14">
        <v>3232152</v>
      </c>
      <c r="S256" s="14">
        <v>2769144</v>
      </c>
      <c r="T256" s="14">
        <v>2027886</v>
      </c>
      <c r="U256" s="14">
        <v>3514854</v>
      </c>
      <c r="V256" s="14">
        <v>4300632</v>
      </c>
      <c r="W256" s="14">
        <v>4418610</v>
      </c>
      <c r="X256" s="14">
        <v>3850980</v>
      </c>
      <c r="Y256" s="14">
        <v>3617250</v>
      </c>
      <c r="Z256" s="14">
        <v>3572730</v>
      </c>
      <c r="AA256" s="14">
        <v>1740732</v>
      </c>
      <c r="AB256" s="13">
        <f t="shared" si="7"/>
        <v>40969530</v>
      </c>
    </row>
    <row r="257" spans="1:28" x14ac:dyDescent="0.3">
      <c r="A257" s="11"/>
      <c r="B257" s="12" t="s">
        <v>502</v>
      </c>
      <c r="C257" s="14">
        <v>377</v>
      </c>
      <c r="D257" s="14">
        <v>372</v>
      </c>
      <c r="E257" s="14">
        <v>378</v>
      </c>
      <c r="F257" s="14">
        <v>373</v>
      </c>
      <c r="G257" s="14">
        <v>330</v>
      </c>
      <c r="H257" s="14">
        <v>335</v>
      </c>
      <c r="I257" s="14">
        <v>318</v>
      </c>
      <c r="J257" s="14">
        <v>329</v>
      </c>
      <c r="K257" s="14">
        <v>321</v>
      </c>
      <c r="L257" s="14">
        <v>299</v>
      </c>
      <c r="M257" s="14">
        <v>333</v>
      </c>
      <c r="N257" s="14">
        <v>316</v>
      </c>
      <c r="O257" s="13">
        <f t="shared" si="6"/>
        <v>4081</v>
      </c>
      <c r="P257" s="14">
        <v>839202</v>
      </c>
      <c r="Q257" s="14">
        <v>828072</v>
      </c>
      <c r="R257" s="14">
        <v>841428</v>
      </c>
      <c r="S257" s="14">
        <v>830298</v>
      </c>
      <c r="T257" s="14">
        <v>734580</v>
      </c>
      <c r="U257" s="14">
        <v>745710</v>
      </c>
      <c r="V257" s="14">
        <v>707868</v>
      </c>
      <c r="W257" s="14">
        <v>732354</v>
      </c>
      <c r="X257" s="14">
        <v>714546</v>
      </c>
      <c r="Y257" s="14">
        <v>665574</v>
      </c>
      <c r="Z257" s="14">
        <v>741258</v>
      </c>
      <c r="AA257" s="14">
        <v>703416</v>
      </c>
      <c r="AB257" s="13">
        <f t="shared" si="7"/>
        <v>9084306</v>
      </c>
    </row>
    <row r="258" spans="1:28" x14ac:dyDescent="0.3">
      <c r="A258" s="11"/>
      <c r="B258" s="12" t="s">
        <v>360</v>
      </c>
      <c r="C258" s="14">
        <v>1623</v>
      </c>
      <c r="D258" s="14">
        <v>1406</v>
      </c>
      <c r="E258" s="14">
        <v>1442</v>
      </c>
      <c r="F258" s="14">
        <v>1264</v>
      </c>
      <c r="G258" s="14">
        <v>1100</v>
      </c>
      <c r="H258" s="14">
        <v>1746</v>
      </c>
      <c r="I258" s="14">
        <v>1875</v>
      </c>
      <c r="J258" s="14">
        <v>1756</v>
      </c>
      <c r="K258" s="14">
        <v>1399</v>
      </c>
      <c r="L258" s="14">
        <v>1673</v>
      </c>
      <c r="M258" s="14">
        <v>1800</v>
      </c>
      <c r="N258" s="14">
        <v>1688</v>
      </c>
      <c r="O258" s="13">
        <f t="shared" si="6"/>
        <v>18772</v>
      </c>
      <c r="P258" s="14">
        <v>3362856</v>
      </c>
      <c r="Q258" s="14">
        <v>2913232</v>
      </c>
      <c r="R258" s="14">
        <v>2987824</v>
      </c>
      <c r="S258" s="14">
        <v>2619008</v>
      </c>
      <c r="T258" s="14">
        <v>2279200</v>
      </c>
      <c r="U258" s="14">
        <v>3617712</v>
      </c>
      <c r="V258" s="14">
        <v>3885000</v>
      </c>
      <c r="W258" s="14">
        <v>3638432</v>
      </c>
      <c r="X258" s="14">
        <v>2898728</v>
      </c>
      <c r="Y258" s="14">
        <v>3466456</v>
      </c>
      <c r="Z258" s="14">
        <v>3729600</v>
      </c>
      <c r="AA258" s="14">
        <v>3497536</v>
      </c>
      <c r="AB258" s="13">
        <f t="shared" si="7"/>
        <v>38895584</v>
      </c>
    </row>
    <row r="259" spans="1:28" x14ac:dyDescent="0.3">
      <c r="A259" s="11"/>
      <c r="B259" s="12" t="s">
        <v>539</v>
      </c>
      <c r="C259" s="14">
        <v>25</v>
      </c>
      <c r="D259" s="14">
        <v>6</v>
      </c>
      <c r="E259" s="14"/>
      <c r="F259" s="14">
        <v>14</v>
      </c>
      <c r="G259" s="14">
        <v>22</v>
      </c>
      <c r="H259" s="14">
        <v>28</v>
      </c>
      <c r="I259" s="14">
        <v>8</v>
      </c>
      <c r="J259" s="14">
        <v>7</v>
      </c>
      <c r="K259" s="14">
        <v>16</v>
      </c>
      <c r="L259" s="14">
        <v>23</v>
      </c>
      <c r="M259" s="14">
        <v>17</v>
      </c>
      <c r="N259" s="14">
        <v>19</v>
      </c>
      <c r="O259" s="13">
        <f t="shared" si="6"/>
        <v>185</v>
      </c>
      <c r="P259" s="14">
        <v>55650</v>
      </c>
      <c r="Q259" s="14">
        <v>13356</v>
      </c>
      <c r="R259" s="14"/>
      <c r="S259" s="14">
        <v>31164</v>
      </c>
      <c r="T259" s="14">
        <v>48972</v>
      </c>
      <c r="U259" s="14">
        <v>62328</v>
      </c>
      <c r="V259" s="14">
        <v>17808</v>
      </c>
      <c r="W259" s="14">
        <v>15582</v>
      </c>
      <c r="X259" s="14">
        <v>35616</v>
      </c>
      <c r="Y259" s="14">
        <v>51198</v>
      </c>
      <c r="Z259" s="14">
        <v>37842</v>
      </c>
      <c r="AA259" s="14">
        <v>42294</v>
      </c>
      <c r="AB259" s="13">
        <f t="shared" si="7"/>
        <v>411810</v>
      </c>
    </row>
    <row r="260" spans="1:28" x14ac:dyDescent="0.3">
      <c r="A260" s="11"/>
      <c r="B260" s="12" t="s">
        <v>242</v>
      </c>
      <c r="C260" s="14">
        <v>6</v>
      </c>
      <c r="D260" s="14">
        <v>6</v>
      </c>
      <c r="E260" s="14">
        <v>6</v>
      </c>
      <c r="F260" s="14"/>
      <c r="G260" s="14">
        <v>7</v>
      </c>
      <c r="H260" s="14">
        <v>34</v>
      </c>
      <c r="I260" s="14">
        <v>11</v>
      </c>
      <c r="J260" s="14"/>
      <c r="K260" s="14"/>
      <c r="L260" s="14">
        <v>6</v>
      </c>
      <c r="M260" s="14"/>
      <c r="N260" s="14"/>
      <c r="O260" s="13">
        <f t="shared" si="6"/>
        <v>76</v>
      </c>
      <c r="P260" s="14">
        <v>13356</v>
      </c>
      <c r="Q260" s="14">
        <v>13356</v>
      </c>
      <c r="R260" s="14">
        <v>13356</v>
      </c>
      <c r="S260" s="14"/>
      <c r="T260" s="14">
        <v>15582</v>
      </c>
      <c r="U260" s="14">
        <v>75684</v>
      </c>
      <c r="V260" s="14">
        <v>24486</v>
      </c>
      <c r="W260" s="14"/>
      <c r="X260" s="14"/>
      <c r="Y260" s="14">
        <v>13356</v>
      </c>
      <c r="Z260" s="14"/>
      <c r="AA260" s="14"/>
      <c r="AB260" s="13">
        <f t="shared" si="7"/>
        <v>169176</v>
      </c>
    </row>
    <row r="261" spans="1:28" x14ac:dyDescent="0.3">
      <c r="A261" s="11"/>
      <c r="B261" s="12" t="s">
        <v>271</v>
      </c>
      <c r="C261" s="14">
        <v>16</v>
      </c>
      <c r="D261" s="14">
        <v>28</v>
      </c>
      <c r="E261" s="14">
        <v>25</v>
      </c>
      <c r="F261" s="14">
        <v>19</v>
      </c>
      <c r="G261" s="14">
        <v>15</v>
      </c>
      <c r="H261" s="14">
        <v>54</v>
      </c>
      <c r="I261" s="14">
        <v>15</v>
      </c>
      <c r="J261" s="14">
        <v>21</v>
      </c>
      <c r="K261" s="14">
        <v>21</v>
      </c>
      <c r="L261" s="14">
        <v>7</v>
      </c>
      <c r="M261" s="14"/>
      <c r="N261" s="14">
        <v>24</v>
      </c>
      <c r="O261" s="13">
        <f t="shared" si="6"/>
        <v>245</v>
      </c>
      <c r="P261" s="14">
        <v>35616</v>
      </c>
      <c r="Q261" s="14">
        <v>62328</v>
      </c>
      <c r="R261" s="14">
        <v>55650</v>
      </c>
      <c r="S261" s="14">
        <v>42294</v>
      </c>
      <c r="T261" s="14">
        <v>33390</v>
      </c>
      <c r="U261" s="14">
        <v>120204</v>
      </c>
      <c r="V261" s="14">
        <v>33390</v>
      </c>
      <c r="W261" s="14">
        <v>46746</v>
      </c>
      <c r="X261" s="14">
        <v>46746</v>
      </c>
      <c r="Y261" s="14">
        <v>15582</v>
      </c>
      <c r="Z261" s="14"/>
      <c r="AA261" s="14">
        <v>53424</v>
      </c>
      <c r="AB261" s="13">
        <f t="shared" si="7"/>
        <v>545370</v>
      </c>
    </row>
    <row r="262" spans="1:28" x14ac:dyDescent="0.3">
      <c r="A262" s="11"/>
      <c r="B262" s="12" t="s">
        <v>544</v>
      </c>
      <c r="C262" s="14">
        <v>3004</v>
      </c>
      <c r="D262" s="14">
        <v>2163</v>
      </c>
      <c r="E262" s="14">
        <v>2401</v>
      </c>
      <c r="F262" s="14">
        <v>2001</v>
      </c>
      <c r="G262" s="14">
        <v>1798</v>
      </c>
      <c r="H262" s="14">
        <v>2408</v>
      </c>
      <c r="I262" s="14">
        <v>2808</v>
      </c>
      <c r="J262" s="14">
        <v>3170</v>
      </c>
      <c r="K262" s="14">
        <v>3103</v>
      </c>
      <c r="L262" s="14">
        <v>2658</v>
      </c>
      <c r="M262" s="14">
        <v>3260</v>
      </c>
      <c r="N262" s="14">
        <v>3111</v>
      </c>
      <c r="O262" s="13">
        <f t="shared" si="6"/>
        <v>31885</v>
      </c>
      <c r="P262" s="14">
        <v>6686904</v>
      </c>
      <c r="Q262" s="14">
        <v>4814838</v>
      </c>
      <c r="R262" s="14">
        <v>5344626</v>
      </c>
      <c r="S262" s="14">
        <v>4454226</v>
      </c>
      <c r="T262" s="14">
        <v>4002348</v>
      </c>
      <c r="U262" s="14">
        <v>5360208</v>
      </c>
      <c r="V262" s="14">
        <v>6250608</v>
      </c>
      <c r="W262" s="14">
        <v>7056420</v>
      </c>
      <c r="X262" s="14">
        <v>6907278</v>
      </c>
      <c r="Y262" s="14">
        <v>5916708</v>
      </c>
      <c r="Z262" s="14">
        <v>7256760</v>
      </c>
      <c r="AA262" s="14">
        <v>6925086</v>
      </c>
      <c r="AB262" s="13">
        <f t="shared" si="7"/>
        <v>70976010</v>
      </c>
    </row>
    <row r="263" spans="1:28" x14ac:dyDescent="0.3">
      <c r="A263" s="11"/>
      <c r="B263" s="12" t="s">
        <v>285</v>
      </c>
      <c r="C263" s="14">
        <v>28178</v>
      </c>
      <c r="D263" s="14">
        <v>23505</v>
      </c>
      <c r="E263" s="14">
        <v>25987</v>
      </c>
      <c r="F263" s="14">
        <v>24231</v>
      </c>
      <c r="G263" s="14">
        <v>19357</v>
      </c>
      <c r="H263" s="14">
        <v>28597</v>
      </c>
      <c r="I263" s="14">
        <v>23828</v>
      </c>
      <c r="J263" s="14">
        <v>18364</v>
      </c>
      <c r="K263" s="14">
        <v>18935</v>
      </c>
      <c r="L263" s="14">
        <v>17421</v>
      </c>
      <c r="M263" s="14">
        <v>14116</v>
      </c>
      <c r="N263" s="14">
        <v>17261</v>
      </c>
      <c r="O263" s="13">
        <f t="shared" ref="O263:O326" si="8">IF(B263="","",SUM(C263:N263))</f>
        <v>259780</v>
      </c>
      <c r="P263" s="14">
        <v>62724228</v>
      </c>
      <c r="Q263" s="14">
        <v>52322130</v>
      </c>
      <c r="R263" s="14">
        <v>57847062</v>
      </c>
      <c r="S263" s="14">
        <v>53938206</v>
      </c>
      <c r="T263" s="14">
        <v>43088682</v>
      </c>
      <c r="U263" s="14">
        <v>63656922</v>
      </c>
      <c r="V263" s="14">
        <v>53041128</v>
      </c>
      <c r="W263" s="14">
        <v>40878264</v>
      </c>
      <c r="X263" s="14">
        <v>42149310</v>
      </c>
      <c r="Y263" s="14">
        <v>38779146</v>
      </c>
      <c r="Z263" s="14">
        <v>31422216</v>
      </c>
      <c r="AA263" s="14">
        <v>38422986</v>
      </c>
      <c r="AB263" s="13">
        <f t="shared" ref="AB263:AB326" si="9">IF(B263="","",SUM(P263:AA263))</f>
        <v>578270280</v>
      </c>
    </row>
    <row r="264" spans="1:28" x14ac:dyDescent="0.3">
      <c r="A264" s="11"/>
      <c r="B264" s="12" t="s">
        <v>388</v>
      </c>
      <c r="C264" s="14">
        <v>3258</v>
      </c>
      <c r="D264" s="14">
        <v>2699</v>
      </c>
      <c r="E264" s="14">
        <v>2712</v>
      </c>
      <c r="F264" s="14">
        <v>2495</v>
      </c>
      <c r="G264" s="14">
        <v>1930</v>
      </c>
      <c r="H264" s="14">
        <v>3063</v>
      </c>
      <c r="I264" s="14">
        <v>3013</v>
      </c>
      <c r="J264" s="14">
        <v>2681</v>
      </c>
      <c r="K264" s="14">
        <v>1322</v>
      </c>
      <c r="L264" s="14">
        <v>1197</v>
      </c>
      <c r="M264" s="14">
        <v>2512</v>
      </c>
      <c r="N264" s="14">
        <v>3540</v>
      </c>
      <c r="O264" s="13">
        <f t="shared" si="8"/>
        <v>30422</v>
      </c>
      <c r="P264" s="14">
        <v>6750576</v>
      </c>
      <c r="Q264" s="14">
        <v>5592328</v>
      </c>
      <c r="R264" s="14">
        <v>5619264</v>
      </c>
      <c r="S264" s="14">
        <v>5169640</v>
      </c>
      <c r="T264" s="14">
        <v>3998960</v>
      </c>
      <c r="U264" s="14">
        <v>6346536</v>
      </c>
      <c r="V264" s="14">
        <v>6242936</v>
      </c>
      <c r="W264" s="14">
        <v>5555032</v>
      </c>
      <c r="X264" s="14">
        <v>2739184</v>
      </c>
      <c r="Y264" s="14">
        <v>2480184</v>
      </c>
      <c r="Z264" s="14">
        <v>5204864</v>
      </c>
      <c r="AA264" s="14">
        <v>7334880</v>
      </c>
      <c r="AB264" s="13">
        <f t="shared" si="9"/>
        <v>63034384</v>
      </c>
    </row>
    <row r="265" spans="1:28" x14ac:dyDescent="0.3">
      <c r="A265" s="11"/>
      <c r="B265" s="12" t="s">
        <v>767</v>
      </c>
      <c r="C265" s="14"/>
      <c r="D265" s="14">
        <v>4</v>
      </c>
      <c r="E265" s="14">
        <v>79</v>
      </c>
      <c r="F265" s="14"/>
      <c r="G265" s="14">
        <v>24</v>
      </c>
      <c r="H265" s="14">
        <v>17</v>
      </c>
      <c r="I265" s="14">
        <v>41</v>
      </c>
      <c r="J265" s="14">
        <v>129</v>
      </c>
      <c r="K265" s="14">
        <v>361</v>
      </c>
      <c r="L265" s="14">
        <v>473</v>
      </c>
      <c r="M265" s="14">
        <v>331</v>
      </c>
      <c r="N265" s="14">
        <v>97</v>
      </c>
      <c r="O265" s="13">
        <f t="shared" si="8"/>
        <v>1556</v>
      </c>
      <c r="P265" s="14"/>
      <c r="Q265" s="14">
        <v>8904</v>
      </c>
      <c r="R265" s="14">
        <v>175854</v>
      </c>
      <c r="S265" s="14"/>
      <c r="T265" s="14">
        <v>53424</v>
      </c>
      <c r="U265" s="14">
        <v>37842</v>
      </c>
      <c r="V265" s="14">
        <v>91266</v>
      </c>
      <c r="W265" s="14">
        <v>287154</v>
      </c>
      <c r="X265" s="14">
        <v>803586</v>
      </c>
      <c r="Y265" s="14">
        <v>1052898</v>
      </c>
      <c r="Z265" s="14">
        <v>736806</v>
      </c>
      <c r="AA265" s="14">
        <v>215922</v>
      </c>
      <c r="AB265" s="13">
        <f t="shared" si="9"/>
        <v>3463656</v>
      </c>
    </row>
    <row r="266" spans="1:28" x14ac:dyDescent="0.3">
      <c r="A266" s="11"/>
      <c r="B266" s="12" t="s">
        <v>373</v>
      </c>
      <c r="C266" s="14">
        <v>208</v>
      </c>
      <c r="D266" s="14">
        <v>280</v>
      </c>
      <c r="E266" s="14">
        <v>264</v>
      </c>
      <c r="F266" s="14">
        <v>352</v>
      </c>
      <c r="G266" s="14">
        <v>295</v>
      </c>
      <c r="H266" s="14">
        <v>307</v>
      </c>
      <c r="I266" s="14">
        <v>406</v>
      </c>
      <c r="J266" s="14">
        <v>231</v>
      </c>
      <c r="K266" s="14">
        <v>58</v>
      </c>
      <c r="L266" s="14">
        <v>37</v>
      </c>
      <c r="M266" s="14">
        <v>205</v>
      </c>
      <c r="N266" s="14">
        <v>255</v>
      </c>
      <c r="O266" s="13">
        <f t="shared" si="8"/>
        <v>2898</v>
      </c>
      <c r="P266" s="14">
        <v>430976</v>
      </c>
      <c r="Q266" s="14">
        <v>580160</v>
      </c>
      <c r="R266" s="14">
        <v>547008</v>
      </c>
      <c r="S266" s="14">
        <v>729344</v>
      </c>
      <c r="T266" s="14">
        <v>611240</v>
      </c>
      <c r="U266" s="14">
        <v>636104</v>
      </c>
      <c r="V266" s="14">
        <v>841232</v>
      </c>
      <c r="W266" s="14">
        <v>478632</v>
      </c>
      <c r="X266" s="14">
        <v>120176</v>
      </c>
      <c r="Y266" s="14">
        <v>76664</v>
      </c>
      <c r="Z266" s="14">
        <v>424760</v>
      </c>
      <c r="AA266" s="14">
        <v>528360</v>
      </c>
      <c r="AB266" s="13">
        <f t="shared" si="9"/>
        <v>6004656</v>
      </c>
    </row>
    <row r="267" spans="1:28" x14ac:dyDescent="0.3">
      <c r="A267" s="11"/>
      <c r="B267" s="12" t="s">
        <v>286</v>
      </c>
      <c r="C267" s="14">
        <v>39931</v>
      </c>
      <c r="D267" s="14">
        <v>50355</v>
      </c>
      <c r="E267" s="14">
        <v>58703</v>
      </c>
      <c r="F267" s="14">
        <v>67298</v>
      </c>
      <c r="G267" s="14">
        <v>60450</v>
      </c>
      <c r="H267" s="14">
        <v>65740</v>
      </c>
      <c r="I267" s="14">
        <v>64468</v>
      </c>
      <c r="J267" s="14">
        <v>56674</v>
      </c>
      <c r="K267" s="14">
        <v>42910</v>
      </c>
      <c r="L267" s="14">
        <v>47049</v>
      </c>
      <c r="M267" s="14">
        <v>64189</v>
      </c>
      <c r="N267" s="14">
        <v>80139</v>
      </c>
      <c r="O267" s="13">
        <f t="shared" si="8"/>
        <v>697906</v>
      </c>
      <c r="P267" s="14">
        <v>88886406</v>
      </c>
      <c r="Q267" s="14">
        <v>112090230</v>
      </c>
      <c r="R267" s="14">
        <v>130672878</v>
      </c>
      <c r="S267" s="14">
        <v>149805348</v>
      </c>
      <c r="T267" s="14">
        <v>134561700</v>
      </c>
      <c r="U267" s="14">
        <v>146337240</v>
      </c>
      <c r="V267" s="14">
        <v>143505768</v>
      </c>
      <c r="W267" s="14">
        <v>126156324</v>
      </c>
      <c r="X267" s="14">
        <v>95517660</v>
      </c>
      <c r="Y267" s="14">
        <v>104731074</v>
      </c>
      <c r="Z267" s="14">
        <v>142884714</v>
      </c>
      <c r="AA267" s="14">
        <v>178389414</v>
      </c>
      <c r="AB267" s="13">
        <f t="shared" si="9"/>
        <v>1553538756</v>
      </c>
    </row>
    <row r="268" spans="1:28" x14ac:dyDescent="0.3">
      <c r="A268" s="11"/>
      <c r="B268" s="12" t="s">
        <v>246</v>
      </c>
      <c r="C268" s="14">
        <v>12</v>
      </c>
      <c r="D268" s="14">
        <v>12</v>
      </c>
      <c r="E268" s="14"/>
      <c r="F268" s="14">
        <v>11</v>
      </c>
      <c r="G268" s="14">
        <v>14</v>
      </c>
      <c r="H268" s="14">
        <v>36</v>
      </c>
      <c r="I268" s="14"/>
      <c r="J268" s="14">
        <v>9</v>
      </c>
      <c r="K268" s="14">
        <v>10</v>
      </c>
      <c r="L268" s="14"/>
      <c r="M268" s="14"/>
      <c r="N268" s="14"/>
      <c r="O268" s="13">
        <f t="shared" si="8"/>
        <v>104</v>
      </c>
      <c r="P268" s="14">
        <v>26712</v>
      </c>
      <c r="Q268" s="14">
        <v>26712</v>
      </c>
      <c r="R268" s="14"/>
      <c r="S268" s="14">
        <v>24486</v>
      </c>
      <c r="T268" s="14">
        <v>31164</v>
      </c>
      <c r="U268" s="14">
        <v>80136</v>
      </c>
      <c r="V268" s="14"/>
      <c r="W268" s="14">
        <v>20034</v>
      </c>
      <c r="X268" s="14">
        <v>22260</v>
      </c>
      <c r="Y268" s="14"/>
      <c r="Z268" s="14"/>
      <c r="AA268" s="14"/>
      <c r="AB268" s="13">
        <f t="shared" si="9"/>
        <v>231504</v>
      </c>
    </row>
    <row r="269" spans="1:28" x14ac:dyDescent="0.3">
      <c r="A269" s="11"/>
      <c r="B269" s="12" t="s">
        <v>429</v>
      </c>
      <c r="C269" s="14">
        <v>3511</v>
      </c>
      <c r="D269" s="14">
        <v>3169</v>
      </c>
      <c r="E269" s="14">
        <v>3307</v>
      </c>
      <c r="F269" s="14">
        <v>3491</v>
      </c>
      <c r="G269" s="14">
        <v>2382</v>
      </c>
      <c r="H269" s="14">
        <v>3932</v>
      </c>
      <c r="I269" s="14">
        <v>3840</v>
      </c>
      <c r="J269" s="14">
        <v>3434</v>
      </c>
      <c r="K269" s="14">
        <v>2457</v>
      </c>
      <c r="L269" s="14">
        <v>2138</v>
      </c>
      <c r="M269" s="14">
        <v>2450</v>
      </c>
      <c r="N269" s="14">
        <v>4058</v>
      </c>
      <c r="O269" s="13">
        <f t="shared" si="8"/>
        <v>38169</v>
      </c>
      <c r="P269" s="14">
        <v>7274792</v>
      </c>
      <c r="Q269" s="14">
        <v>6566168</v>
      </c>
      <c r="R269" s="14">
        <v>6852104</v>
      </c>
      <c r="S269" s="14">
        <v>7233352</v>
      </c>
      <c r="T269" s="14">
        <v>4935504</v>
      </c>
      <c r="U269" s="14">
        <v>8147104</v>
      </c>
      <c r="V269" s="14">
        <v>7956480</v>
      </c>
      <c r="W269" s="14">
        <v>7115248</v>
      </c>
      <c r="X269" s="14">
        <v>5090904</v>
      </c>
      <c r="Y269" s="14">
        <v>4429936</v>
      </c>
      <c r="Z269" s="14">
        <v>5076400</v>
      </c>
      <c r="AA269" s="14">
        <v>8408176</v>
      </c>
      <c r="AB269" s="13">
        <f t="shared" si="9"/>
        <v>79086168</v>
      </c>
    </row>
    <row r="270" spans="1:28" x14ac:dyDescent="0.3">
      <c r="A270" s="11"/>
      <c r="B270" s="12" t="s">
        <v>458</v>
      </c>
      <c r="C270" s="14">
        <v>5488</v>
      </c>
      <c r="D270" s="14">
        <v>4909</v>
      </c>
      <c r="E270" s="14">
        <v>4580</v>
      </c>
      <c r="F270" s="14">
        <v>4161</v>
      </c>
      <c r="G270" s="14">
        <v>2701</v>
      </c>
      <c r="H270" s="14">
        <v>5094</v>
      </c>
      <c r="I270" s="14">
        <v>4810</v>
      </c>
      <c r="J270" s="14">
        <v>2347</v>
      </c>
      <c r="K270" s="14">
        <v>906</v>
      </c>
      <c r="L270" s="14">
        <v>697</v>
      </c>
      <c r="M270" s="14">
        <v>901</v>
      </c>
      <c r="N270" s="14">
        <v>3996</v>
      </c>
      <c r="O270" s="13">
        <f t="shared" si="8"/>
        <v>40590</v>
      </c>
      <c r="P270" s="14">
        <v>11371136</v>
      </c>
      <c r="Q270" s="14">
        <v>10171448</v>
      </c>
      <c r="R270" s="14">
        <v>9489760</v>
      </c>
      <c r="S270" s="14">
        <v>8621592</v>
      </c>
      <c r="T270" s="14">
        <v>5596472</v>
      </c>
      <c r="U270" s="14">
        <v>10554768</v>
      </c>
      <c r="V270" s="14">
        <v>9966320</v>
      </c>
      <c r="W270" s="14">
        <v>4862984</v>
      </c>
      <c r="X270" s="14">
        <v>1877232</v>
      </c>
      <c r="Y270" s="14">
        <v>1444184</v>
      </c>
      <c r="Z270" s="14">
        <v>1866872</v>
      </c>
      <c r="AA270" s="14">
        <v>8279712</v>
      </c>
      <c r="AB270" s="13">
        <f t="shared" si="9"/>
        <v>84102480</v>
      </c>
    </row>
    <row r="271" spans="1:28" x14ac:dyDescent="0.3">
      <c r="A271" s="11"/>
      <c r="B271" s="12" t="s">
        <v>356</v>
      </c>
      <c r="C271" s="14">
        <v>877</v>
      </c>
      <c r="D271" s="14">
        <v>952</v>
      </c>
      <c r="E271" s="14">
        <v>984</v>
      </c>
      <c r="F271" s="14">
        <v>829</v>
      </c>
      <c r="G271" s="14">
        <v>842</v>
      </c>
      <c r="H271" s="14">
        <v>923</v>
      </c>
      <c r="I271" s="14">
        <v>973</v>
      </c>
      <c r="J271" s="14">
        <v>857</v>
      </c>
      <c r="K271" s="14">
        <v>719</v>
      </c>
      <c r="L271" s="14">
        <v>904</v>
      </c>
      <c r="M271" s="14">
        <v>966</v>
      </c>
      <c r="N271" s="14">
        <v>745</v>
      </c>
      <c r="O271" s="13">
        <f t="shared" si="8"/>
        <v>10571</v>
      </c>
      <c r="P271" s="14">
        <v>1952202</v>
      </c>
      <c r="Q271" s="14">
        <v>2119152</v>
      </c>
      <c r="R271" s="14">
        <v>2190384</v>
      </c>
      <c r="S271" s="14">
        <v>1845354</v>
      </c>
      <c r="T271" s="14">
        <v>1874292</v>
      </c>
      <c r="U271" s="14">
        <v>2054598</v>
      </c>
      <c r="V271" s="14">
        <v>2165898</v>
      </c>
      <c r="W271" s="14">
        <v>1907682</v>
      </c>
      <c r="X271" s="14">
        <v>1600494</v>
      </c>
      <c r="Y271" s="14">
        <v>2012304</v>
      </c>
      <c r="Z271" s="14">
        <v>2150316</v>
      </c>
      <c r="AA271" s="14">
        <v>1658370</v>
      </c>
      <c r="AB271" s="13">
        <f t="shared" si="9"/>
        <v>23531046</v>
      </c>
    </row>
    <row r="272" spans="1:28" x14ac:dyDescent="0.3">
      <c r="A272" s="11"/>
      <c r="B272" s="12" t="s">
        <v>522</v>
      </c>
      <c r="C272" s="14">
        <v>1481</v>
      </c>
      <c r="D272" s="14">
        <v>1768</v>
      </c>
      <c r="E272" s="14">
        <v>2159</v>
      </c>
      <c r="F272" s="14">
        <v>2237</v>
      </c>
      <c r="G272" s="14">
        <v>2323</v>
      </c>
      <c r="H272" s="14">
        <v>2535</v>
      </c>
      <c r="I272" s="14">
        <v>2515</v>
      </c>
      <c r="J272" s="14">
        <v>2471</v>
      </c>
      <c r="K272" s="14">
        <v>2326</v>
      </c>
      <c r="L272" s="14">
        <v>2143</v>
      </c>
      <c r="M272" s="14">
        <v>2259</v>
      </c>
      <c r="N272" s="14">
        <v>1851</v>
      </c>
      <c r="O272" s="13">
        <f t="shared" si="8"/>
        <v>26068</v>
      </c>
      <c r="P272" s="14">
        <v>3296706</v>
      </c>
      <c r="Q272" s="14">
        <v>3935568</v>
      </c>
      <c r="R272" s="14">
        <v>4805934</v>
      </c>
      <c r="S272" s="14">
        <v>4979562</v>
      </c>
      <c r="T272" s="14">
        <v>5170998</v>
      </c>
      <c r="U272" s="14">
        <v>5642910</v>
      </c>
      <c r="V272" s="14">
        <v>5598390</v>
      </c>
      <c r="W272" s="14">
        <v>5500446</v>
      </c>
      <c r="X272" s="14">
        <v>5177676</v>
      </c>
      <c r="Y272" s="14">
        <v>4770318</v>
      </c>
      <c r="Z272" s="14">
        <v>5028534</v>
      </c>
      <c r="AA272" s="14">
        <v>4120326</v>
      </c>
      <c r="AB272" s="13">
        <f t="shared" si="9"/>
        <v>58027368</v>
      </c>
    </row>
    <row r="273" spans="1:28" x14ac:dyDescent="0.3">
      <c r="A273" s="11"/>
      <c r="B273" s="12" t="s">
        <v>157</v>
      </c>
      <c r="C273" s="14">
        <v>349</v>
      </c>
      <c r="D273" s="14">
        <v>369</v>
      </c>
      <c r="E273" s="14">
        <v>340</v>
      </c>
      <c r="F273" s="14">
        <v>336</v>
      </c>
      <c r="G273" s="14">
        <v>321</v>
      </c>
      <c r="H273" s="14">
        <v>422</v>
      </c>
      <c r="I273" s="14">
        <v>420</v>
      </c>
      <c r="J273" s="14">
        <v>468</v>
      </c>
      <c r="K273" s="14">
        <v>486</v>
      </c>
      <c r="L273" s="14">
        <v>486</v>
      </c>
      <c r="M273" s="14">
        <v>482</v>
      </c>
      <c r="N273" s="14">
        <v>517</v>
      </c>
      <c r="O273" s="13">
        <f t="shared" si="8"/>
        <v>4996</v>
      </c>
      <c r="P273" s="14">
        <v>776874</v>
      </c>
      <c r="Q273" s="14">
        <v>821394</v>
      </c>
      <c r="R273" s="14">
        <v>756840</v>
      </c>
      <c r="S273" s="14">
        <v>747936</v>
      </c>
      <c r="T273" s="14">
        <v>714546</v>
      </c>
      <c r="U273" s="14">
        <v>939372</v>
      </c>
      <c r="V273" s="14">
        <v>934920</v>
      </c>
      <c r="W273" s="14">
        <v>1041768</v>
      </c>
      <c r="X273" s="14">
        <v>1081836</v>
      </c>
      <c r="Y273" s="14">
        <v>1081836</v>
      </c>
      <c r="Z273" s="14">
        <v>1072932</v>
      </c>
      <c r="AA273" s="14">
        <v>1150842</v>
      </c>
      <c r="AB273" s="13">
        <f t="shared" si="9"/>
        <v>11121096</v>
      </c>
    </row>
    <row r="274" spans="1:28" x14ac:dyDescent="0.3">
      <c r="A274" s="11"/>
      <c r="B274" s="12" t="s">
        <v>296</v>
      </c>
      <c r="C274" s="14">
        <v>329</v>
      </c>
      <c r="D274" s="14">
        <v>509</v>
      </c>
      <c r="E274" s="14">
        <v>361</v>
      </c>
      <c r="F274" s="14">
        <v>338</v>
      </c>
      <c r="G274" s="14">
        <v>318</v>
      </c>
      <c r="H274" s="14">
        <v>354</v>
      </c>
      <c r="I274" s="14">
        <v>402</v>
      </c>
      <c r="J274" s="14">
        <v>464</v>
      </c>
      <c r="K274" s="14">
        <v>411</v>
      </c>
      <c r="L274" s="14">
        <v>368</v>
      </c>
      <c r="M274" s="14">
        <v>384</v>
      </c>
      <c r="N274" s="14">
        <v>355</v>
      </c>
      <c r="O274" s="13">
        <f t="shared" si="8"/>
        <v>4593</v>
      </c>
      <c r="P274" s="14">
        <v>681688</v>
      </c>
      <c r="Q274" s="14">
        <v>1054648</v>
      </c>
      <c r="R274" s="14">
        <v>747992</v>
      </c>
      <c r="S274" s="14">
        <v>700336</v>
      </c>
      <c r="T274" s="14">
        <v>658896</v>
      </c>
      <c r="U274" s="14">
        <v>733488</v>
      </c>
      <c r="V274" s="14">
        <v>832944</v>
      </c>
      <c r="W274" s="14">
        <v>961408</v>
      </c>
      <c r="X274" s="14">
        <v>851592</v>
      </c>
      <c r="Y274" s="14">
        <v>762496</v>
      </c>
      <c r="Z274" s="14">
        <v>795648</v>
      </c>
      <c r="AA274" s="14">
        <v>735560</v>
      </c>
      <c r="AB274" s="13">
        <f t="shared" si="9"/>
        <v>9516696</v>
      </c>
    </row>
    <row r="275" spans="1:28" x14ac:dyDescent="0.3">
      <c r="A275" s="11"/>
      <c r="B275" s="12" t="s">
        <v>372</v>
      </c>
      <c r="C275" s="14">
        <v>2217</v>
      </c>
      <c r="D275" s="14">
        <v>1788</v>
      </c>
      <c r="E275" s="14">
        <v>1788</v>
      </c>
      <c r="F275" s="14">
        <v>1580</v>
      </c>
      <c r="G275" s="14">
        <v>1091</v>
      </c>
      <c r="H275" s="14">
        <v>1731</v>
      </c>
      <c r="I275" s="14">
        <v>1742</v>
      </c>
      <c r="J275" s="14">
        <v>1642</v>
      </c>
      <c r="K275" s="14">
        <v>1112</v>
      </c>
      <c r="L275" s="14">
        <v>841</v>
      </c>
      <c r="M275" s="14">
        <v>1171</v>
      </c>
      <c r="N275" s="14">
        <v>1419</v>
      </c>
      <c r="O275" s="13">
        <f t="shared" si="8"/>
        <v>18122</v>
      </c>
      <c r="P275" s="14">
        <v>4593624</v>
      </c>
      <c r="Q275" s="14">
        <v>3704736</v>
      </c>
      <c r="R275" s="14">
        <v>3704736</v>
      </c>
      <c r="S275" s="14">
        <v>3273760</v>
      </c>
      <c r="T275" s="14">
        <v>2260552</v>
      </c>
      <c r="U275" s="14">
        <v>3586632</v>
      </c>
      <c r="V275" s="14">
        <v>3609424</v>
      </c>
      <c r="W275" s="14">
        <v>3402224</v>
      </c>
      <c r="X275" s="14">
        <v>2304064</v>
      </c>
      <c r="Y275" s="14">
        <v>1742552</v>
      </c>
      <c r="Z275" s="14">
        <v>2426312</v>
      </c>
      <c r="AA275" s="14">
        <v>2940168</v>
      </c>
      <c r="AB275" s="13">
        <f t="shared" si="9"/>
        <v>37548784</v>
      </c>
    </row>
    <row r="276" spans="1:28" x14ac:dyDescent="0.3">
      <c r="A276" s="11"/>
      <c r="B276" s="12" t="s">
        <v>287</v>
      </c>
      <c r="C276" s="14">
        <v>66366</v>
      </c>
      <c r="D276" s="14">
        <v>64478</v>
      </c>
      <c r="E276" s="14">
        <v>65749</v>
      </c>
      <c r="F276" s="14">
        <v>65813</v>
      </c>
      <c r="G276" s="14">
        <v>56389</v>
      </c>
      <c r="H276" s="14">
        <v>69944</v>
      </c>
      <c r="I276" s="14">
        <v>63011</v>
      </c>
      <c r="J276" s="14">
        <v>68078</v>
      </c>
      <c r="K276" s="14">
        <v>84794</v>
      </c>
      <c r="L276" s="14">
        <v>107006</v>
      </c>
      <c r="M276" s="14">
        <v>95647</v>
      </c>
      <c r="N276" s="14">
        <v>80127</v>
      </c>
      <c r="O276" s="13">
        <f t="shared" si="8"/>
        <v>887402</v>
      </c>
      <c r="P276" s="14">
        <v>147730716</v>
      </c>
      <c r="Q276" s="14">
        <v>143528028</v>
      </c>
      <c r="R276" s="14">
        <v>146357274</v>
      </c>
      <c r="S276" s="14">
        <v>146499738</v>
      </c>
      <c r="T276" s="14">
        <v>125521914</v>
      </c>
      <c r="U276" s="14">
        <v>155695344</v>
      </c>
      <c r="V276" s="14">
        <v>140262486</v>
      </c>
      <c r="W276" s="14">
        <v>151541628</v>
      </c>
      <c r="X276" s="14">
        <v>188751444</v>
      </c>
      <c r="Y276" s="14">
        <v>238195356</v>
      </c>
      <c r="Z276" s="14">
        <v>212910222</v>
      </c>
      <c r="AA276" s="14">
        <v>178362702</v>
      </c>
      <c r="AB276" s="13">
        <f t="shared" si="9"/>
        <v>1975356852</v>
      </c>
    </row>
    <row r="277" spans="1:28" x14ac:dyDescent="0.3">
      <c r="A277" s="11"/>
      <c r="B277" s="12" t="s">
        <v>768</v>
      </c>
      <c r="C277" s="14">
        <v>1923</v>
      </c>
      <c r="D277" s="14">
        <v>2080</v>
      </c>
      <c r="E277" s="14">
        <v>2233</v>
      </c>
      <c r="F277" s="14">
        <v>2315</v>
      </c>
      <c r="G277" s="14">
        <v>2399</v>
      </c>
      <c r="H277" s="14">
        <v>2021</v>
      </c>
      <c r="I277" s="14">
        <v>2086</v>
      </c>
      <c r="J277" s="14">
        <v>2233</v>
      </c>
      <c r="K277" s="14">
        <v>1964</v>
      </c>
      <c r="L277" s="14">
        <v>2100</v>
      </c>
      <c r="M277" s="14">
        <v>1902</v>
      </c>
      <c r="N277" s="14">
        <v>1591</v>
      </c>
      <c r="O277" s="13">
        <f t="shared" si="8"/>
        <v>24847</v>
      </c>
      <c r="P277" s="14">
        <v>4280598</v>
      </c>
      <c r="Q277" s="14">
        <v>4630080</v>
      </c>
      <c r="R277" s="14">
        <v>4970658</v>
      </c>
      <c r="S277" s="14">
        <v>5153190</v>
      </c>
      <c r="T277" s="14">
        <v>5340174</v>
      </c>
      <c r="U277" s="14">
        <v>4498746</v>
      </c>
      <c r="V277" s="14">
        <v>4643436</v>
      </c>
      <c r="W277" s="14">
        <v>4970658</v>
      </c>
      <c r="X277" s="14">
        <v>4371864</v>
      </c>
      <c r="Y277" s="14">
        <v>4674600</v>
      </c>
      <c r="Z277" s="14">
        <v>4233852</v>
      </c>
      <c r="AA277" s="14">
        <v>3541566</v>
      </c>
      <c r="AB277" s="13">
        <f t="shared" si="9"/>
        <v>55309422</v>
      </c>
    </row>
    <row r="278" spans="1:28" x14ac:dyDescent="0.3">
      <c r="A278" s="11"/>
      <c r="B278" s="12" t="s">
        <v>410</v>
      </c>
      <c r="C278" s="14">
        <v>990</v>
      </c>
      <c r="D278" s="14">
        <v>971</v>
      </c>
      <c r="E278" s="14">
        <v>1016</v>
      </c>
      <c r="F278" s="14">
        <v>696</v>
      </c>
      <c r="G278" s="14">
        <v>891</v>
      </c>
      <c r="H278" s="14">
        <v>1021</v>
      </c>
      <c r="I278" s="14">
        <v>1199</v>
      </c>
      <c r="J278" s="14">
        <v>1477</v>
      </c>
      <c r="K278" s="14">
        <v>55</v>
      </c>
      <c r="L278" s="14"/>
      <c r="M278" s="14"/>
      <c r="N278" s="14"/>
      <c r="O278" s="13">
        <f t="shared" si="8"/>
        <v>8316</v>
      </c>
      <c r="P278" s="14">
        <v>2203740</v>
      </c>
      <c r="Q278" s="14">
        <v>2161446</v>
      </c>
      <c r="R278" s="14">
        <v>2261616</v>
      </c>
      <c r="S278" s="14">
        <v>1549296</v>
      </c>
      <c r="T278" s="14">
        <v>1983366</v>
      </c>
      <c r="U278" s="14">
        <v>2272746</v>
      </c>
      <c r="V278" s="14">
        <v>2668974</v>
      </c>
      <c r="W278" s="14">
        <v>3287802</v>
      </c>
      <c r="X278" s="14">
        <v>122430</v>
      </c>
      <c r="Y278" s="14"/>
      <c r="Z278" s="14"/>
      <c r="AA278" s="14"/>
      <c r="AB278" s="13">
        <f t="shared" si="9"/>
        <v>18511416</v>
      </c>
    </row>
    <row r="279" spans="1:28" x14ac:dyDescent="0.3">
      <c r="A279" s="11"/>
      <c r="B279" s="12" t="s">
        <v>464</v>
      </c>
      <c r="C279" s="14">
        <v>2542</v>
      </c>
      <c r="D279" s="14">
        <v>2134</v>
      </c>
      <c r="E279" s="14">
        <v>2310</v>
      </c>
      <c r="F279" s="14">
        <v>1881</v>
      </c>
      <c r="G279" s="14">
        <v>1471</v>
      </c>
      <c r="H279" s="14">
        <v>2598</v>
      </c>
      <c r="I279" s="14">
        <v>2596</v>
      </c>
      <c r="J279" s="14">
        <v>1720</v>
      </c>
      <c r="K279" s="14">
        <v>605</v>
      </c>
      <c r="L279" s="14">
        <v>613</v>
      </c>
      <c r="M279" s="14">
        <v>790</v>
      </c>
      <c r="N279" s="14">
        <v>2368</v>
      </c>
      <c r="O279" s="13">
        <f t="shared" si="8"/>
        <v>21628</v>
      </c>
      <c r="P279" s="14">
        <v>5267024</v>
      </c>
      <c r="Q279" s="14">
        <v>4421648</v>
      </c>
      <c r="R279" s="14">
        <v>4786320</v>
      </c>
      <c r="S279" s="14">
        <v>3897432</v>
      </c>
      <c r="T279" s="14">
        <v>3047912</v>
      </c>
      <c r="U279" s="14">
        <v>5383056</v>
      </c>
      <c r="V279" s="14">
        <v>5378912</v>
      </c>
      <c r="W279" s="14">
        <v>3563840</v>
      </c>
      <c r="X279" s="14">
        <v>1253560</v>
      </c>
      <c r="Y279" s="14">
        <v>1270136</v>
      </c>
      <c r="Z279" s="14">
        <v>1636880</v>
      </c>
      <c r="AA279" s="14">
        <v>4906496</v>
      </c>
      <c r="AB279" s="13">
        <f t="shared" si="9"/>
        <v>44813216</v>
      </c>
    </row>
    <row r="280" spans="1:28" x14ac:dyDescent="0.3">
      <c r="A280" s="11"/>
      <c r="B280" s="12" t="s">
        <v>421</v>
      </c>
      <c r="C280" s="14">
        <v>2709</v>
      </c>
      <c r="D280" s="14">
        <v>2597</v>
      </c>
      <c r="E280" s="14">
        <v>2500</v>
      </c>
      <c r="F280" s="14">
        <v>2479</v>
      </c>
      <c r="G280" s="14">
        <v>1714</v>
      </c>
      <c r="H280" s="14">
        <v>2743</v>
      </c>
      <c r="I280" s="14">
        <v>2757</v>
      </c>
      <c r="J280" s="14">
        <v>1637</v>
      </c>
      <c r="K280" s="14">
        <v>743</v>
      </c>
      <c r="L280" s="14">
        <v>761</v>
      </c>
      <c r="M280" s="14">
        <v>1016</v>
      </c>
      <c r="N280" s="14">
        <v>2581</v>
      </c>
      <c r="O280" s="13">
        <f t="shared" si="8"/>
        <v>24237</v>
      </c>
      <c r="P280" s="14">
        <v>5613048</v>
      </c>
      <c r="Q280" s="14">
        <v>5380984</v>
      </c>
      <c r="R280" s="14">
        <v>5180000</v>
      </c>
      <c r="S280" s="14">
        <v>5136488</v>
      </c>
      <c r="T280" s="14">
        <v>3551408</v>
      </c>
      <c r="U280" s="14">
        <v>5683496</v>
      </c>
      <c r="V280" s="14">
        <v>5712504</v>
      </c>
      <c r="W280" s="14">
        <v>3391864</v>
      </c>
      <c r="X280" s="14">
        <v>1539496</v>
      </c>
      <c r="Y280" s="14">
        <v>1576792</v>
      </c>
      <c r="Z280" s="14">
        <v>2105152</v>
      </c>
      <c r="AA280" s="14">
        <v>5347832</v>
      </c>
      <c r="AB280" s="13">
        <f t="shared" si="9"/>
        <v>50219064</v>
      </c>
    </row>
    <row r="281" spans="1:28" x14ac:dyDescent="0.3">
      <c r="A281" s="11"/>
      <c r="B281" s="12" t="s">
        <v>540</v>
      </c>
      <c r="C281" s="14">
        <v>4412</v>
      </c>
      <c r="D281" s="14">
        <v>3726</v>
      </c>
      <c r="E281" s="14">
        <v>3799</v>
      </c>
      <c r="F281" s="14">
        <v>1906</v>
      </c>
      <c r="G281" s="14">
        <v>2210</v>
      </c>
      <c r="H281" s="14">
        <v>3731</v>
      </c>
      <c r="I281" s="14">
        <v>3678</v>
      </c>
      <c r="J281" s="14">
        <v>3827</v>
      </c>
      <c r="K281" s="14">
        <v>3497</v>
      </c>
      <c r="L281" s="14">
        <v>3265</v>
      </c>
      <c r="M281" s="14">
        <v>3352</v>
      </c>
      <c r="N281" s="14">
        <v>3097</v>
      </c>
      <c r="O281" s="13">
        <f t="shared" si="8"/>
        <v>40500</v>
      </c>
      <c r="P281" s="14">
        <v>9821112</v>
      </c>
      <c r="Q281" s="14">
        <v>8294076</v>
      </c>
      <c r="R281" s="14">
        <v>8456574</v>
      </c>
      <c r="S281" s="14">
        <v>4242756</v>
      </c>
      <c r="T281" s="14">
        <v>4919460</v>
      </c>
      <c r="U281" s="14">
        <v>8305206</v>
      </c>
      <c r="V281" s="14">
        <v>8187228</v>
      </c>
      <c r="W281" s="14">
        <v>8518902</v>
      </c>
      <c r="X281" s="14">
        <v>7784322</v>
      </c>
      <c r="Y281" s="14">
        <v>7267890</v>
      </c>
      <c r="Z281" s="14">
        <v>7461552</v>
      </c>
      <c r="AA281" s="14">
        <v>6893922</v>
      </c>
      <c r="AB281" s="13">
        <f t="shared" si="9"/>
        <v>90153000</v>
      </c>
    </row>
    <row r="282" spans="1:28" x14ac:dyDescent="0.3">
      <c r="A282" s="11"/>
      <c r="B282" s="12" t="s">
        <v>379</v>
      </c>
      <c r="C282" s="14">
        <v>2499</v>
      </c>
      <c r="D282" s="14">
        <v>2163</v>
      </c>
      <c r="E282" s="14">
        <v>2164</v>
      </c>
      <c r="F282" s="14">
        <v>1939</v>
      </c>
      <c r="G282" s="14">
        <v>1477</v>
      </c>
      <c r="H282" s="14">
        <v>2321</v>
      </c>
      <c r="I282" s="14"/>
      <c r="J282" s="14">
        <v>2288</v>
      </c>
      <c r="K282" s="14">
        <v>1227</v>
      </c>
      <c r="L282" s="14">
        <v>1076</v>
      </c>
      <c r="M282" s="14">
        <v>1107</v>
      </c>
      <c r="N282" s="14">
        <v>1908</v>
      </c>
      <c r="O282" s="13">
        <f t="shared" si="8"/>
        <v>20169</v>
      </c>
      <c r="P282" s="14">
        <v>5177928</v>
      </c>
      <c r="Q282" s="14">
        <v>4481736</v>
      </c>
      <c r="R282" s="14">
        <v>4483808</v>
      </c>
      <c r="S282" s="14">
        <v>4017608</v>
      </c>
      <c r="T282" s="14">
        <v>3060344</v>
      </c>
      <c r="U282" s="14">
        <v>4809112</v>
      </c>
      <c r="V282" s="14"/>
      <c r="W282" s="14">
        <v>4740736</v>
      </c>
      <c r="X282" s="14">
        <v>2542344</v>
      </c>
      <c r="Y282" s="14">
        <v>2229472</v>
      </c>
      <c r="Z282" s="14">
        <v>2293704</v>
      </c>
      <c r="AA282" s="14">
        <v>3953376</v>
      </c>
      <c r="AB282" s="13">
        <f t="shared" si="9"/>
        <v>41790168</v>
      </c>
    </row>
    <row r="283" spans="1:28" x14ac:dyDescent="0.3">
      <c r="A283" s="11"/>
      <c r="B283" s="12" t="s">
        <v>382</v>
      </c>
      <c r="C283" s="14">
        <v>534</v>
      </c>
      <c r="D283" s="14">
        <v>458</v>
      </c>
      <c r="E283" s="14">
        <v>438</v>
      </c>
      <c r="F283" s="14">
        <v>386</v>
      </c>
      <c r="G283" s="14">
        <v>224</v>
      </c>
      <c r="H283" s="14">
        <v>433</v>
      </c>
      <c r="I283" s="14">
        <v>442</v>
      </c>
      <c r="J283" s="14">
        <v>447</v>
      </c>
      <c r="K283" s="14">
        <v>33</v>
      </c>
      <c r="L283" s="14">
        <v>26</v>
      </c>
      <c r="M283" s="14">
        <v>202</v>
      </c>
      <c r="N283" s="14">
        <v>424</v>
      </c>
      <c r="O283" s="13">
        <f t="shared" si="8"/>
        <v>4047</v>
      </c>
      <c r="P283" s="14">
        <v>1106448</v>
      </c>
      <c r="Q283" s="14">
        <v>948976</v>
      </c>
      <c r="R283" s="14">
        <v>907536</v>
      </c>
      <c r="S283" s="14">
        <v>799792</v>
      </c>
      <c r="T283" s="14">
        <v>464128</v>
      </c>
      <c r="U283" s="14">
        <v>897176</v>
      </c>
      <c r="V283" s="14">
        <v>915824</v>
      </c>
      <c r="W283" s="14">
        <v>926184</v>
      </c>
      <c r="X283" s="14">
        <v>68376</v>
      </c>
      <c r="Y283" s="14">
        <v>53872</v>
      </c>
      <c r="Z283" s="14">
        <v>418544</v>
      </c>
      <c r="AA283" s="14">
        <v>878528</v>
      </c>
      <c r="AB283" s="13">
        <f t="shared" si="9"/>
        <v>8385384</v>
      </c>
    </row>
    <row r="284" spans="1:28" x14ac:dyDescent="0.3">
      <c r="A284" s="11"/>
      <c r="B284" s="12" t="s">
        <v>559</v>
      </c>
      <c r="C284" s="14">
        <v>30</v>
      </c>
      <c r="D284" s="14">
        <v>40</v>
      </c>
      <c r="E284" s="14">
        <v>39</v>
      </c>
      <c r="F284" s="14">
        <v>26</v>
      </c>
      <c r="G284" s="14">
        <v>27</v>
      </c>
      <c r="H284" s="14">
        <v>54</v>
      </c>
      <c r="I284" s="14">
        <v>29</v>
      </c>
      <c r="J284" s="14">
        <v>22</v>
      </c>
      <c r="K284" s="14">
        <v>21</v>
      </c>
      <c r="L284" s="14">
        <v>20</v>
      </c>
      <c r="M284" s="14">
        <v>14</v>
      </c>
      <c r="N284" s="14">
        <v>44</v>
      </c>
      <c r="O284" s="13">
        <f t="shared" si="8"/>
        <v>366</v>
      </c>
      <c r="P284" s="14">
        <v>66780</v>
      </c>
      <c r="Q284" s="14">
        <v>89040</v>
      </c>
      <c r="R284" s="14">
        <v>86814</v>
      </c>
      <c r="S284" s="14">
        <v>57876</v>
      </c>
      <c r="T284" s="14">
        <v>60102</v>
      </c>
      <c r="U284" s="14">
        <v>120204</v>
      </c>
      <c r="V284" s="14">
        <v>64554</v>
      </c>
      <c r="W284" s="14">
        <v>48972</v>
      </c>
      <c r="X284" s="14">
        <v>46746</v>
      </c>
      <c r="Y284" s="14">
        <v>44520</v>
      </c>
      <c r="Z284" s="14">
        <v>31164</v>
      </c>
      <c r="AA284" s="14">
        <v>97944</v>
      </c>
      <c r="AB284" s="13">
        <f t="shared" si="9"/>
        <v>814716</v>
      </c>
    </row>
    <row r="285" spans="1:28" x14ac:dyDescent="0.3">
      <c r="A285" s="11"/>
      <c r="B285" s="12" t="s">
        <v>455</v>
      </c>
      <c r="C285" s="14">
        <v>4127</v>
      </c>
      <c r="D285" s="14">
        <v>3851</v>
      </c>
      <c r="E285" s="14">
        <v>3671</v>
      </c>
      <c r="F285" s="14">
        <v>3251</v>
      </c>
      <c r="G285" s="14">
        <v>2568</v>
      </c>
      <c r="H285" s="14">
        <v>4340</v>
      </c>
      <c r="I285" s="14">
        <v>4065</v>
      </c>
      <c r="J285" s="14">
        <v>2571</v>
      </c>
      <c r="K285" s="14">
        <v>1410</v>
      </c>
      <c r="L285" s="14">
        <v>1304</v>
      </c>
      <c r="M285" s="14">
        <v>1549</v>
      </c>
      <c r="N285" s="14">
        <v>3670</v>
      </c>
      <c r="O285" s="13">
        <f t="shared" si="8"/>
        <v>36377</v>
      </c>
      <c r="P285" s="14">
        <v>8551144</v>
      </c>
      <c r="Q285" s="14">
        <v>7979272</v>
      </c>
      <c r="R285" s="14">
        <v>7606312</v>
      </c>
      <c r="S285" s="14">
        <v>6736072</v>
      </c>
      <c r="T285" s="14">
        <v>5320896</v>
      </c>
      <c r="U285" s="14">
        <v>8992480</v>
      </c>
      <c r="V285" s="14">
        <v>8422680</v>
      </c>
      <c r="W285" s="14">
        <v>5327112</v>
      </c>
      <c r="X285" s="14">
        <v>2921520</v>
      </c>
      <c r="Y285" s="14">
        <v>2701888</v>
      </c>
      <c r="Z285" s="14">
        <v>3209528</v>
      </c>
      <c r="AA285" s="14">
        <v>7604240</v>
      </c>
      <c r="AB285" s="13">
        <f t="shared" si="9"/>
        <v>75373144</v>
      </c>
    </row>
    <row r="286" spans="1:28" x14ac:dyDescent="0.3">
      <c r="A286" s="11"/>
      <c r="B286" s="12" t="s">
        <v>769</v>
      </c>
      <c r="C286" s="14">
        <v>3071</v>
      </c>
      <c r="D286" s="14">
        <v>2227</v>
      </c>
      <c r="E286" s="14">
        <v>2244</v>
      </c>
      <c r="F286" s="14">
        <v>2152</v>
      </c>
      <c r="G286" s="14">
        <v>2094</v>
      </c>
      <c r="H286" s="14">
        <v>2009</v>
      </c>
      <c r="I286" s="14">
        <v>2550</v>
      </c>
      <c r="J286" s="14">
        <v>4094</v>
      </c>
      <c r="K286" s="14">
        <v>3621</v>
      </c>
      <c r="L286" s="14">
        <v>3626</v>
      </c>
      <c r="M286" s="14">
        <v>3509</v>
      </c>
      <c r="N286" s="14">
        <v>2981</v>
      </c>
      <c r="O286" s="13">
        <f t="shared" si="8"/>
        <v>34178</v>
      </c>
      <c r="P286" s="14">
        <v>6836046</v>
      </c>
      <c r="Q286" s="14">
        <v>4957302</v>
      </c>
      <c r="R286" s="14">
        <v>4995144</v>
      </c>
      <c r="S286" s="14">
        <v>4790352</v>
      </c>
      <c r="T286" s="14">
        <v>4661244</v>
      </c>
      <c r="U286" s="14">
        <v>4472034</v>
      </c>
      <c r="V286" s="14">
        <v>5676300</v>
      </c>
      <c r="W286" s="14">
        <v>9113244</v>
      </c>
      <c r="X286" s="14">
        <v>8060346</v>
      </c>
      <c r="Y286" s="14">
        <v>8071476</v>
      </c>
      <c r="Z286" s="14">
        <v>7811034</v>
      </c>
      <c r="AA286" s="14">
        <v>6635706</v>
      </c>
      <c r="AB286" s="13">
        <f t="shared" si="9"/>
        <v>76080228</v>
      </c>
    </row>
    <row r="287" spans="1:28" x14ac:dyDescent="0.3">
      <c r="A287" s="11"/>
      <c r="B287" s="12" t="s">
        <v>363</v>
      </c>
      <c r="C287" s="14">
        <v>2896</v>
      </c>
      <c r="D287" s="14">
        <v>2612</v>
      </c>
      <c r="E287" s="14">
        <v>2468</v>
      </c>
      <c r="F287" s="14">
        <v>2686</v>
      </c>
      <c r="G287" s="14">
        <v>1880</v>
      </c>
      <c r="H287" s="14">
        <v>3050</v>
      </c>
      <c r="I287" s="14">
        <v>2538</v>
      </c>
      <c r="J287" s="14">
        <v>2782</v>
      </c>
      <c r="K287" s="14">
        <v>1505</v>
      </c>
      <c r="L287" s="14">
        <v>1241</v>
      </c>
      <c r="M287" s="14">
        <v>1786</v>
      </c>
      <c r="N287" s="14">
        <v>2386</v>
      </c>
      <c r="O287" s="13">
        <f t="shared" si="8"/>
        <v>27830</v>
      </c>
      <c r="P287" s="14">
        <v>6000512</v>
      </c>
      <c r="Q287" s="14">
        <v>5412064</v>
      </c>
      <c r="R287" s="14">
        <v>5113696</v>
      </c>
      <c r="S287" s="14">
        <v>5565392</v>
      </c>
      <c r="T287" s="14">
        <v>3895360</v>
      </c>
      <c r="U287" s="14">
        <v>6319600</v>
      </c>
      <c r="V287" s="14">
        <v>5258736</v>
      </c>
      <c r="W287" s="14">
        <v>5764304</v>
      </c>
      <c r="X287" s="14">
        <v>3118360</v>
      </c>
      <c r="Y287" s="14">
        <v>2571352</v>
      </c>
      <c r="Z287" s="14">
        <v>3700592</v>
      </c>
      <c r="AA287" s="14">
        <v>4943792</v>
      </c>
      <c r="AB287" s="13">
        <f t="shared" si="9"/>
        <v>57663760</v>
      </c>
    </row>
    <row r="288" spans="1:28" x14ac:dyDescent="0.3">
      <c r="A288" s="11"/>
      <c r="B288" s="12" t="s">
        <v>525</v>
      </c>
      <c r="C288" s="14">
        <v>10</v>
      </c>
      <c r="D288" s="14">
        <v>14</v>
      </c>
      <c r="E288" s="14">
        <v>17</v>
      </c>
      <c r="F288" s="14">
        <v>9</v>
      </c>
      <c r="G288" s="14">
        <v>17</v>
      </c>
      <c r="H288" s="14">
        <v>31</v>
      </c>
      <c r="I288" s="14">
        <v>7</v>
      </c>
      <c r="J288" s="14">
        <v>14</v>
      </c>
      <c r="K288" s="14">
        <v>30</v>
      </c>
      <c r="L288" s="14">
        <v>29</v>
      </c>
      <c r="M288" s="14">
        <v>33</v>
      </c>
      <c r="N288" s="14">
        <v>26</v>
      </c>
      <c r="O288" s="13">
        <f t="shared" si="8"/>
        <v>237</v>
      </c>
      <c r="P288" s="14">
        <v>22260</v>
      </c>
      <c r="Q288" s="14">
        <v>31164</v>
      </c>
      <c r="R288" s="14">
        <v>37842</v>
      </c>
      <c r="S288" s="14">
        <v>20034</v>
      </c>
      <c r="T288" s="14">
        <v>37842</v>
      </c>
      <c r="U288" s="14">
        <v>69006</v>
      </c>
      <c r="V288" s="14">
        <v>15582</v>
      </c>
      <c r="W288" s="14">
        <v>31164</v>
      </c>
      <c r="X288" s="14">
        <v>66780</v>
      </c>
      <c r="Y288" s="14">
        <v>64554</v>
      </c>
      <c r="Z288" s="14">
        <v>73458</v>
      </c>
      <c r="AA288" s="14">
        <v>57876</v>
      </c>
      <c r="AB288" s="13">
        <f t="shared" si="9"/>
        <v>527562</v>
      </c>
    </row>
    <row r="289" spans="1:28" x14ac:dyDescent="0.3">
      <c r="A289" s="11"/>
      <c r="B289" s="12" t="s">
        <v>316</v>
      </c>
      <c r="C289" s="14">
        <v>13911</v>
      </c>
      <c r="D289" s="14">
        <v>13058</v>
      </c>
      <c r="E289" s="14">
        <v>13209</v>
      </c>
      <c r="F289" s="14">
        <v>12708</v>
      </c>
      <c r="G289" s="14">
        <v>10821</v>
      </c>
      <c r="H289" s="14">
        <v>11425</v>
      </c>
      <c r="I289" s="14">
        <v>11367</v>
      </c>
      <c r="J289" s="14">
        <v>14406</v>
      </c>
      <c r="K289" s="14">
        <v>13646</v>
      </c>
      <c r="L289" s="14">
        <v>12125</v>
      </c>
      <c r="M289" s="14">
        <v>10988</v>
      </c>
      <c r="N289" s="14">
        <v>10039</v>
      </c>
      <c r="O289" s="13">
        <f t="shared" si="8"/>
        <v>147703</v>
      </c>
      <c r="P289" s="14">
        <v>29741718</v>
      </c>
      <c r="Q289" s="14">
        <v>27918004</v>
      </c>
      <c r="R289" s="14">
        <v>28240842</v>
      </c>
      <c r="S289" s="14">
        <v>27169704</v>
      </c>
      <c r="T289" s="14">
        <v>23135298</v>
      </c>
      <c r="U289" s="14">
        <v>24426650</v>
      </c>
      <c r="V289" s="14">
        <v>24302646</v>
      </c>
      <c r="W289" s="14">
        <v>30800028</v>
      </c>
      <c r="X289" s="14">
        <v>29175148</v>
      </c>
      <c r="Y289" s="14">
        <v>25923250</v>
      </c>
      <c r="Z289" s="14">
        <v>23492344</v>
      </c>
      <c r="AA289" s="14">
        <v>21463382</v>
      </c>
      <c r="AB289" s="13">
        <f t="shared" si="9"/>
        <v>315789014</v>
      </c>
    </row>
    <row r="290" spans="1:28" x14ac:dyDescent="0.3">
      <c r="A290" s="11"/>
      <c r="B290" s="12" t="s">
        <v>281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3">
        <f t="shared" si="8"/>
        <v>0</v>
      </c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3">
        <f t="shared" si="9"/>
        <v>0</v>
      </c>
    </row>
    <row r="291" spans="1:28" x14ac:dyDescent="0.3">
      <c r="A291" s="11"/>
      <c r="B291" s="12" t="s">
        <v>414</v>
      </c>
      <c r="C291" s="14">
        <v>1491</v>
      </c>
      <c r="D291" s="14">
        <v>1460</v>
      </c>
      <c r="E291" s="14">
        <v>1434</v>
      </c>
      <c r="F291" s="14">
        <v>1396</v>
      </c>
      <c r="G291" s="14">
        <v>1107</v>
      </c>
      <c r="H291" s="14">
        <v>1704</v>
      </c>
      <c r="I291" s="14">
        <v>1746</v>
      </c>
      <c r="J291" s="14">
        <v>1505</v>
      </c>
      <c r="K291" s="14">
        <v>1228</v>
      </c>
      <c r="L291" s="14">
        <v>761</v>
      </c>
      <c r="M291" s="14">
        <v>1111</v>
      </c>
      <c r="N291" s="14">
        <v>1618</v>
      </c>
      <c r="O291" s="13">
        <f t="shared" si="8"/>
        <v>16561</v>
      </c>
      <c r="P291" s="14">
        <v>3089352</v>
      </c>
      <c r="Q291" s="14">
        <v>3025120</v>
      </c>
      <c r="R291" s="14">
        <v>2971248</v>
      </c>
      <c r="S291" s="14">
        <v>2892512</v>
      </c>
      <c r="T291" s="14">
        <v>2293704</v>
      </c>
      <c r="U291" s="14">
        <v>3530688</v>
      </c>
      <c r="V291" s="14">
        <v>3617712</v>
      </c>
      <c r="W291" s="14">
        <v>3118360</v>
      </c>
      <c r="X291" s="14">
        <v>2544416</v>
      </c>
      <c r="Y291" s="14">
        <v>1576792</v>
      </c>
      <c r="Z291" s="14">
        <v>2301992</v>
      </c>
      <c r="AA291" s="14">
        <v>3352496</v>
      </c>
      <c r="AB291" s="13">
        <f t="shared" si="9"/>
        <v>34314392</v>
      </c>
    </row>
    <row r="292" spans="1:28" x14ac:dyDescent="0.3">
      <c r="A292" s="11"/>
      <c r="B292" s="12" t="s">
        <v>438</v>
      </c>
      <c r="C292" s="14">
        <v>3290</v>
      </c>
      <c r="D292" s="14">
        <v>2808</v>
      </c>
      <c r="E292" s="14">
        <v>2712</v>
      </c>
      <c r="F292" s="14">
        <v>2525</v>
      </c>
      <c r="G292" s="14">
        <v>1797</v>
      </c>
      <c r="H292" s="14">
        <v>2938</v>
      </c>
      <c r="I292" s="14">
        <v>2892</v>
      </c>
      <c r="J292" s="14">
        <v>2613</v>
      </c>
      <c r="K292" s="14">
        <v>1272</v>
      </c>
      <c r="L292" s="14">
        <v>935</v>
      </c>
      <c r="M292" s="14">
        <v>1202</v>
      </c>
      <c r="N292" s="14">
        <v>2787</v>
      </c>
      <c r="O292" s="13">
        <f t="shared" si="8"/>
        <v>27771</v>
      </c>
      <c r="P292" s="14">
        <v>6816880</v>
      </c>
      <c r="Q292" s="14">
        <v>5818176</v>
      </c>
      <c r="R292" s="14">
        <v>5619264</v>
      </c>
      <c r="S292" s="14">
        <v>5231800</v>
      </c>
      <c r="T292" s="14">
        <v>3723384</v>
      </c>
      <c r="U292" s="14">
        <v>6087536</v>
      </c>
      <c r="V292" s="14">
        <v>5992224</v>
      </c>
      <c r="W292" s="14">
        <v>5414136</v>
      </c>
      <c r="X292" s="14">
        <v>2635584</v>
      </c>
      <c r="Y292" s="14">
        <v>1937320</v>
      </c>
      <c r="Z292" s="14">
        <v>2490544</v>
      </c>
      <c r="AA292" s="14">
        <v>5774664</v>
      </c>
      <c r="AB292" s="13">
        <f t="shared" si="9"/>
        <v>57541512</v>
      </c>
    </row>
    <row r="293" spans="1:28" x14ac:dyDescent="0.3">
      <c r="A293" s="11"/>
      <c r="B293" s="12" t="s">
        <v>770</v>
      </c>
      <c r="C293" s="14">
        <v>708</v>
      </c>
      <c r="D293" s="14">
        <v>809</v>
      </c>
      <c r="E293" s="14">
        <v>587</v>
      </c>
      <c r="F293" s="14">
        <v>659</v>
      </c>
      <c r="G293" s="14">
        <v>623</v>
      </c>
      <c r="H293" s="14">
        <v>651</v>
      </c>
      <c r="I293" s="14">
        <v>556</v>
      </c>
      <c r="J293" s="14">
        <v>633</v>
      </c>
      <c r="K293" s="14">
        <v>536</v>
      </c>
      <c r="L293" s="14">
        <v>523</v>
      </c>
      <c r="M293" s="14">
        <v>508</v>
      </c>
      <c r="N293" s="14">
        <v>507</v>
      </c>
      <c r="O293" s="13">
        <f t="shared" si="8"/>
        <v>7300</v>
      </c>
      <c r="P293" s="14">
        <v>1576008</v>
      </c>
      <c r="Q293" s="14">
        <v>1800834</v>
      </c>
      <c r="R293" s="14">
        <v>1306662</v>
      </c>
      <c r="S293" s="14">
        <v>1466934</v>
      </c>
      <c r="T293" s="14">
        <v>1386798</v>
      </c>
      <c r="U293" s="14">
        <v>1449126</v>
      </c>
      <c r="V293" s="14">
        <v>1237656</v>
      </c>
      <c r="W293" s="14">
        <v>1409058</v>
      </c>
      <c r="X293" s="14">
        <v>1193136</v>
      </c>
      <c r="Y293" s="14">
        <v>1164198</v>
      </c>
      <c r="Z293" s="14">
        <v>1130808</v>
      </c>
      <c r="AA293" s="14">
        <v>1128582</v>
      </c>
      <c r="AB293" s="13">
        <f t="shared" si="9"/>
        <v>16249800</v>
      </c>
    </row>
    <row r="294" spans="1:28" x14ac:dyDescent="0.3">
      <c r="A294" s="11"/>
      <c r="B294" s="12" t="s">
        <v>233</v>
      </c>
      <c r="C294" s="14">
        <v>1462</v>
      </c>
      <c r="D294" s="14">
        <v>2197</v>
      </c>
      <c r="E294" s="14">
        <v>1708</v>
      </c>
      <c r="F294" s="14">
        <v>1484</v>
      </c>
      <c r="G294" s="14">
        <v>1665</v>
      </c>
      <c r="H294" s="14">
        <v>1712</v>
      </c>
      <c r="I294" s="14">
        <v>1806</v>
      </c>
      <c r="J294" s="14">
        <v>2241</v>
      </c>
      <c r="K294" s="14">
        <v>2036</v>
      </c>
      <c r="L294" s="14">
        <v>1810</v>
      </c>
      <c r="M294" s="14">
        <v>1961</v>
      </c>
      <c r="N294" s="14">
        <v>1895</v>
      </c>
      <c r="O294" s="13">
        <f t="shared" si="8"/>
        <v>21977</v>
      </c>
      <c r="P294" s="14">
        <v>3254412</v>
      </c>
      <c r="Q294" s="14">
        <v>4890522</v>
      </c>
      <c r="R294" s="14">
        <v>3802008</v>
      </c>
      <c r="S294" s="14">
        <v>3303384</v>
      </c>
      <c r="T294" s="14">
        <v>3706290</v>
      </c>
      <c r="U294" s="14">
        <v>3810912</v>
      </c>
      <c r="V294" s="14">
        <v>4020156</v>
      </c>
      <c r="W294" s="14">
        <v>4988466</v>
      </c>
      <c r="X294" s="14">
        <v>4532136</v>
      </c>
      <c r="Y294" s="14">
        <v>4029060</v>
      </c>
      <c r="Z294" s="14">
        <v>4365186</v>
      </c>
      <c r="AA294" s="14">
        <v>4218270</v>
      </c>
      <c r="AB294" s="13">
        <f t="shared" si="9"/>
        <v>48920802</v>
      </c>
    </row>
    <row r="295" spans="1:28" x14ac:dyDescent="0.3">
      <c r="A295" s="11"/>
      <c r="B295" s="12" t="s">
        <v>439</v>
      </c>
      <c r="C295" s="14">
        <v>2248</v>
      </c>
      <c r="D295" s="14">
        <v>1825</v>
      </c>
      <c r="E295" s="14">
        <v>1791</v>
      </c>
      <c r="F295" s="14">
        <v>1653</v>
      </c>
      <c r="G295" s="14">
        <v>1147</v>
      </c>
      <c r="H295" s="14">
        <v>1955</v>
      </c>
      <c r="I295" s="14">
        <v>1761</v>
      </c>
      <c r="J295" s="14">
        <v>1632</v>
      </c>
      <c r="K295" s="14">
        <v>838</v>
      </c>
      <c r="L295" s="14">
        <v>705</v>
      </c>
      <c r="M295" s="14">
        <v>900</v>
      </c>
      <c r="N295" s="14">
        <v>1950</v>
      </c>
      <c r="O295" s="13">
        <f t="shared" si="8"/>
        <v>18405</v>
      </c>
      <c r="P295" s="14">
        <v>4657856</v>
      </c>
      <c r="Q295" s="14">
        <v>3781400</v>
      </c>
      <c r="R295" s="14">
        <v>3710952</v>
      </c>
      <c r="S295" s="14">
        <v>3425016</v>
      </c>
      <c r="T295" s="14">
        <v>2376584</v>
      </c>
      <c r="U295" s="14">
        <v>4050760</v>
      </c>
      <c r="V295" s="14">
        <v>3648792</v>
      </c>
      <c r="W295" s="14">
        <v>3381504</v>
      </c>
      <c r="X295" s="14">
        <v>1736336</v>
      </c>
      <c r="Y295" s="14">
        <v>1460760</v>
      </c>
      <c r="Z295" s="14">
        <v>1864800</v>
      </c>
      <c r="AA295" s="14">
        <v>4040400</v>
      </c>
      <c r="AB295" s="13">
        <f t="shared" si="9"/>
        <v>38135160</v>
      </c>
    </row>
    <row r="296" spans="1:28" x14ac:dyDescent="0.3">
      <c r="A296" s="11"/>
      <c r="B296" s="12" t="s">
        <v>398</v>
      </c>
      <c r="C296" s="14">
        <v>1581</v>
      </c>
      <c r="D296" s="14">
        <v>1354</v>
      </c>
      <c r="E296" s="14">
        <v>1411</v>
      </c>
      <c r="F296" s="14">
        <v>1297</v>
      </c>
      <c r="G296" s="14">
        <v>874</v>
      </c>
      <c r="H296" s="14">
        <v>1527</v>
      </c>
      <c r="I296" s="14">
        <v>1473</v>
      </c>
      <c r="J296" s="14">
        <v>1433</v>
      </c>
      <c r="K296" s="14">
        <v>617</v>
      </c>
      <c r="L296" s="14">
        <v>702</v>
      </c>
      <c r="M296" s="14">
        <v>869</v>
      </c>
      <c r="N296" s="14">
        <v>1386</v>
      </c>
      <c r="O296" s="13">
        <f t="shared" si="8"/>
        <v>14524</v>
      </c>
      <c r="P296" s="14">
        <v>3275832</v>
      </c>
      <c r="Q296" s="14">
        <v>2805488</v>
      </c>
      <c r="R296" s="14">
        <v>2923592</v>
      </c>
      <c r="S296" s="14">
        <v>2687384</v>
      </c>
      <c r="T296" s="14">
        <v>1810928</v>
      </c>
      <c r="U296" s="14">
        <v>3163944</v>
      </c>
      <c r="V296" s="14">
        <v>3052056</v>
      </c>
      <c r="W296" s="14">
        <v>2969176</v>
      </c>
      <c r="X296" s="14">
        <v>1278424</v>
      </c>
      <c r="Y296" s="14">
        <v>1454544</v>
      </c>
      <c r="Z296" s="14">
        <v>1800568</v>
      </c>
      <c r="AA296" s="14">
        <v>2871792</v>
      </c>
      <c r="AB296" s="13">
        <f t="shared" si="9"/>
        <v>30093728</v>
      </c>
    </row>
    <row r="297" spans="1:28" x14ac:dyDescent="0.3">
      <c r="A297" s="11"/>
      <c r="B297" s="12" t="s">
        <v>523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3">
        <f t="shared" si="8"/>
        <v>0</v>
      </c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3">
        <f t="shared" si="9"/>
        <v>0</v>
      </c>
    </row>
    <row r="298" spans="1:28" x14ac:dyDescent="0.3">
      <c r="A298" s="11"/>
      <c r="B298" s="12" t="s">
        <v>443</v>
      </c>
      <c r="C298" s="14">
        <v>1186</v>
      </c>
      <c r="D298" s="14">
        <v>1123</v>
      </c>
      <c r="E298" s="14">
        <v>1235</v>
      </c>
      <c r="F298" s="14">
        <v>1168</v>
      </c>
      <c r="G298" s="14">
        <v>808</v>
      </c>
      <c r="H298" s="14">
        <v>1176</v>
      </c>
      <c r="I298" s="14">
        <v>1278</v>
      </c>
      <c r="J298" s="14">
        <v>1041</v>
      </c>
      <c r="K298" s="14">
        <v>783</v>
      </c>
      <c r="L298" s="14">
        <v>708</v>
      </c>
      <c r="M298" s="14">
        <v>702</v>
      </c>
      <c r="N298" s="14">
        <v>1142</v>
      </c>
      <c r="O298" s="13">
        <f t="shared" si="8"/>
        <v>12350</v>
      </c>
      <c r="P298" s="14">
        <v>2457392</v>
      </c>
      <c r="Q298" s="14">
        <v>2326856</v>
      </c>
      <c r="R298" s="14">
        <v>2558920</v>
      </c>
      <c r="S298" s="14">
        <v>2420096</v>
      </c>
      <c r="T298" s="14">
        <v>1674176</v>
      </c>
      <c r="U298" s="14">
        <v>2436672</v>
      </c>
      <c r="V298" s="14">
        <v>2648016</v>
      </c>
      <c r="W298" s="14">
        <v>2156952</v>
      </c>
      <c r="X298" s="14">
        <v>1622376</v>
      </c>
      <c r="Y298" s="14">
        <v>1466976</v>
      </c>
      <c r="Z298" s="14">
        <v>1454544</v>
      </c>
      <c r="AA298" s="14">
        <v>2366224</v>
      </c>
      <c r="AB298" s="13">
        <f t="shared" si="9"/>
        <v>25589200</v>
      </c>
    </row>
    <row r="299" spans="1:28" x14ac:dyDescent="0.3">
      <c r="A299" s="11"/>
      <c r="B299" s="12" t="s">
        <v>416</v>
      </c>
      <c r="C299" s="14">
        <v>805</v>
      </c>
      <c r="D299" s="14">
        <v>706</v>
      </c>
      <c r="E299" s="14">
        <v>727</v>
      </c>
      <c r="F299" s="14">
        <v>675</v>
      </c>
      <c r="G299" s="14">
        <v>462</v>
      </c>
      <c r="H299" s="14">
        <v>794</v>
      </c>
      <c r="I299" s="14">
        <v>660</v>
      </c>
      <c r="J299" s="14">
        <v>474</v>
      </c>
      <c r="K299" s="14">
        <v>148</v>
      </c>
      <c r="L299" s="14">
        <v>143</v>
      </c>
      <c r="M299" s="14">
        <v>299</v>
      </c>
      <c r="N299" s="14">
        <v>708</v>
      </c>
      <c r="O299" s="13">
        <f t="shared" si="8"/>
        <v>6601</v>
      </c>
      <c r="P299" s="14">
        <v>1667960</v>
      </c>
      <c r="Q299" s="14">
        <v>1462832</v>
      </c>
      <c r="R299" s="14">
        <v>1506344</v>
      </c>
      <c r="S299" s="14">
        <v>1398600</v>
      </c>
      <c r="T299" s="14">
        <v>957264</v>
      </c>
      <c r="U299" s="14">
        <v>1645168</v>
      </c>
      <c r="V299" s="14">
        <v>1367520</v>
      </c>
      <c r="W299" s="14">
        <v>982128</v>
      </c>
      <c r="X299" s="14">
        <v>306656</v>
      </c>
      <c r="Y299" s="14">
        <v>296296</v>
      </c>
      <c r="Z299" s="14">
        <v>619528</v>
      </c>
      <c r="AA299" s="14">
        <v>1466976</v>
      </c>
      <c r="AB299" s="13">
        <f t="shared" si="9"/>
        <v>13677272</v>
      </c>
    </row>
    <row r="300" spans="1:28" x14ac:dyDescent="0.3">
      <c r="A300" s="11"/>
      <c r="B300" s="12" t="s">
        <v>556</v>
      </c>
      <c r="C300" s="14">
        <v>4007</v>
      </c>
      <c r="D300" s="14">
        <v>3827</v>
      </c>
      <c r="E300" s="14">
        <v>4355</v>
      </c>
      <c r="F300" s="14">
        <v>3716</v>
      </c>
      <c r="G300" s="14">
        <v>3814</v>
      </c>
      <c r="H300" s="14">
        <v>5916</v>
      </c>
      <c r="I300" s="14">
        <v>6204</v>
      </c>
      <c r="J300" s="14">
        <v>6977</v>
      </c>
      <c r="K300" s="14">
        <v>6612</v>
      </c>
      <c r="L300" s="14">
        <v>6404</v>
      </c>
      <c r="M300" s="14">
        <v>7963</v>
      </c>
      <c r="N300" s="14">
        <v>7547</v>
      </c>
      <c r="O300" s="13">
        <f t="shared" si="8"/>
        <v>67342</v>
      </c>
      <c r="P300" s="14">
        <v>8919582</v>
      </c>
      <c r="Q300" s="14">
        <v>8518902</v>
      </c>
      <c r="R300" s="14">
        <v>9694230</v>
      </c>
      <c r="S300" s="14">
        <v>8271816</v>
      </c>
      <c r="T300" s="14">
        <v>8489964</v>
      </c>
      <c r="U300" s="14">
        <v>13169016</v>
      </c>
      <c r="V300" s="14">
        <v>13810104</v>
      </c>
      <c r="W300" s="14">
        <v>15530802</v>
      </c>
      <c r="X300" s="14">
        <v>14718312</v>
      </c>
      <c r="Y300" s="14">
        <v>14255304</v>
      </c>
      <c r="Z300" s="14">
        <v>17725638</v>
      </c>
      <c r="AA300" s="14">
        <v>16799622</v>
      </c>
      <c r="AB300" s="13">
        <f t="shared" si="9"/>
        <v>149903292</v>
      </c>
    </row>
    <row r="301" spans="1:28" x14ac:dyDescent="0.3">
      <c r="A301" s="11"/>
      <c r="B301" s="12" t="s">
        <v>411</v>
      </c>
      <c r="C301" s="14">
        <v>2207</v>
      </c>
      <c r="D301" s="14">
        <v>2017</v>
      </c>
      <c r="E301" s="14">
        <v>2137</v>
      </c>
      <c r="F301" s="14">
        <v>1807</v>
      </c>
      <c r="G301" s="14">
        <v>1274</v>
      </c>
      <c r="H301" s="14">
        <v>2207</v>
      </c>
      <c r="I301" s="14">
        <v>2014</v>
      </c>
      <c r="J301" s="14">
        <v>1691</v>
      </c>
      <c r="K301" s="14">
        <v>681</v>
      </c>
      <c r="L301" s="14">
        <v>496</v>
      </c>
      <c r="M301" s="14">
        <v>710</v>
      </c>
      <c r="N301" s="14">
        <v>2141</v>
      </c>
      <c r="O301" s="13">
        <f t="shared" si="8"/>
        <v>19382</v>
      </c>
      <c r="P301" s="14">
        <v>4572904</v>
      </c>
      <c r="Q301" s="14">
        <v>4179224</v>
      </c>
      <c r="R301" s="14">
        <v>4427864</v>
      </c>
      <c r="S301" s="14">
        <v>3744104</v>
      </c>
      <c r="T301" s="14">
        <v>2639728</v>
      </c>
      <c r="U301" s="14">
        <v>4572904</v>
      </c>
      <c r="V301" s="14">
        <v>4173008</v>
      </c>
      <c r="W301" s="14">
        <v>3503752</v>
      </c>
      <c r="X301" s="14">
        <v>1411032</v>
      </c>
      <c r="Y301" s="14">
        <v>1027712</v>
      </c>
      <c r="Z301" s="14">
        <v>1471120</v>
      </c>
      <c r="AA301" s="14">
        <v>4436152</v>
      </c>
      <c r="AB301" s="13">
        <f t="shared" si="9"/>
        <v>40159504</v>
      </c>
    </row>
    <row r="302" spans="1:28" x14ac:dyDescent="0.3">
      <c r="A302" s="11"/>
      <c r="B302" s="12" t="s">
        <v>422</v>
      </c>
      <c r="C302" s="14">
        <v>1513</v>
      </c>
      <c r="D302" s="14">
        <v>1354</v>
      </c>
      <c r="E302" s="14">
        <v>1392</v>
      </c>
      <c r="F302" s="14">
        <v>1328</v>
      </c>
      <c r="G302" s="14">
        <v>992</v>
      </c>
      <c r="H302" s="14">
        <v>1506</v>
      </c>
      <c r="I302" s="14">
        <v>1505</v>
      </c>
      <c r="J302" s="14">
        <v>1416</v>
      </c>
      <c r="K302" s="14">
        <v>782</v>
      </c>
      <c r="L302" s="14">
        <v>1390</v>
      </c>
      <c r="M302" s="14">
        <v>1536</v>
      </c>
      <c r="N302" s="14">
        <v>1970</v>
      </c>
      <c r="O302" s="13">
        <f t="shared" si="8"/>
        <v>16684</v>
      </c>
      <c r="P302" s="14">
        <v>3134936</v>
      </c>
      <c r="Q302" s="14">
        <v>2805488</v>
      </c>
      <c r="R302" s="14">
        <v>2884224</v>
      </c>
      <c r="S302" s="14">
        <v>2751616</v>
      </c>
      <c r="T302" s="14">
        <v>2055424</v>
      </c>
      <c r="U302" s="14">
        <v>3120432</v>
      </c>
      <c r="V302" s="14">
        <v>3118360</v>
      </c>
      <c r="W302" s="14">
        <v>2933952</v>
      </c>
      <c r="X302" s="14">
        <v>1620304</v>
      </c>
      <c r="Y302" s="14">
        <v>2880080</v>
      </c>
      <c r="Z302" s="14">
        <v>3182592</v>
      </c>
      <c r="AA302" s="14">
        <v>4081840</v>
      </c>
      <c r="AB302" s="13">
        <f t="shared" si="9"/>
        <v>34569248</v>
      </c>
    </row>
    <row r="303" spans="1:28" x14ac:dyDescent="0.3">
      <c r="A303" s="11"/>
      <c r="B303" s="12" t="s">
        <v>282</v>
      </c>
      <c r="C303" s="14">
        <v>4447</v>
      </c>
      <c r="D303" s="14">
        <v>3459</v>
      </c>
      <c r="E303" s="14">
        <v>4473</v>
      </c>
      <c r="F303" s="14">
        <v>3348</v>
      </c>
      <c r="G303" s="14">
        <v>2870</v>
      </c>
      <c r="H303" s="14">
        <v>4532</v>
      </c>
      <c r="I303" s="14">
        <v>6030</v>
      </c>
      <c r="J303" s="14">
        <v>6520</v>
      </c>
      <c r="K303" s="14">
        <v>5628</v>
      </c>
      <c r="L303" s="14">
        <v>5552</v>
      </c>
      <c r="M303" s="14">
        <v>4811</v>
      </c>
      <c r="N303" s="14">
        <v>6344</v>
      </c>
      <c r="O303" s="13">
        <f t="shared" si="8"/>
        <v>58014</v>
      </c>
      <c r="P303" s="14">
        <v>9899022</v>
      </c>
      <c r="Q303" s="14">
        <v>7699734</v>
      </c>
      <c r="R303" s="14">
        <v>9956898</v>
      </c>
      <c r="S303" s="14">
        <v>7452648</v>
      </c>
      <c r="T303" s="14">
        <v>6388620</v>
      </c>
      <c r="U303" s="14">
        <v>10088232</v>
      </c>
      <c r="V303" s="14">
        <v>13422780</v>
      </c>
      <c r="W303" s="14">
        <v>14513520</v>
      </c>
      <c r="X303" s="14">
        <v>12527928</v>
      </c>
      <c r="Y303" s="14">
        <v>12358752</v>
      </c>
      <c r="Z303" s="14">
        <v>10709286</v>
      </c>
      <c r="AA303" s="14">
        <v>14121744</v>
      </c>
      <c r="AB303" s="13">
        <f t="shared" si="9"/>
        <v>129139164</v>
      </c>
    </row>
    <row r="304" spans="1:28" x14ac:dyDescent="0.3">
      <c r="A304" s="11"/>
      <c r="B304" s="12" t="s">
        <v>168</v>
      </c>
      <c r="C304" s="14">
        <v>1027</v>
      </c>
      <c r="D304" s="14">
        <v>1132</v>
      </c>
      <c r="E304" s="14">
        <v>1046</v>
      </c>
      <c r="F304" s="14">
        <v>783</v>
      </c>
      <c r="G304" s="14">
        <v>663</v>
      </c>
      <c r="H304" s="14">
        <v>1163</v>
      </c>
      <c r="I304" s="14">
        <v>1268</v>
      </c>
      <c r="J304" s="14">
        <v>1408</v>
      </c>
      <c r="K304" s="14">
        <v>1280</v>
      </c>
      <c r="L304" s="14">
        <v>338</v>
      </c>
      <c r="M304" s="14">
        <v>141</v>
      </c>
      <c r="N304" s="14"/>
      <c r="O304" s="13">
        <f t="shared" si="8"/>
        <v>10249</v>
      </c>
      <c r="P304" s="14">
        <v>2286102</v>
      </c>
      <c r="Q304" s="14">
        <v>2519832</v>
      </c>
      <c r="R304" s="14">
        <v>2328396</v>
      </c>
      <c r="S304" s="14">
        <v>1742958</v>
      </c>
      <c r="T304" s="14">
        <v>1475838</v>
      </c>
      <c r="U304" s="14">
        <v>2588838</v>
      </c>
      <c r="V304" s="14">
        <v>2822568</v>
      </c>
      <c r="W304" s="14">
        <v>3134208</v>
      </c>
      <c r="X304" s="14">
        <v>2849280</v>
      </c>
      <c r="Y304" s="14">
        <v>752388</v>
      </c>
      <c r="Z304" s="14">
        <v>313866</v>
      </c>
      <c r="AA304" s="14"/>
      <c r="AB304" s="13">
        <f t="shared" si="9"/>
        <v>22814274</v>
      </c>
    </row>
    <row r="305" spans="1:28" x14ac:dyDescent="0.3">
      <c r="A305" s="11"/>
      <c r="B305" s="12" t="s">
        <v>434</v>
      </c>
      <c r="C305" s="14">
        <v>1265</v>
      </c>
      <c r="D305" s="14">
        <v>1130</v>
      </c>
      <c r="E305" s="14">
        <v>997</v>
      </c>
      <c r="F305" s="14">
        <v>938</v>
      </c>
      <c r="G305" s="14">
        <v>232</v>
      </c>
      <c r="H305" s="14"/>
      <c r="I305" s="14">
        <v>305</v>
      </c>
      <c r="J305" s="14">
        <v>513</v>
      </c>
      <c r="K305" s="14">
        <v>180</v>
      </c>
      <c r="L305" s="14">
        <v>244</v>
      </c>
      <c r="M305" s="14">
        <v>827</v>
      </c>
      <c r="N305" s="14">
        <v>2619</v>
      </c>
      <c r="O305" s="13">
        <f t="shared" si="8"/>
        <v>9250</v>
      </c>
      <c r="P305" s="14">
        <v>2621080</v>
      </c>
      <c r="Q305" s="14">
        <v>2341360</v>
      </c>
      <c r="R305" s="14">
        <v>2065784</v>
      </c>
      <c r="S305" s="14">
        <v>1943536</v>
      </c>
      <c r="T305" s="14">
        <v>480704</v>
      </c>
      <c r="U305" s="14"/>
      <c r="V305" s="14">
        <v>631960</v>
      </c>
      <c r="W305" s="14">
        <v>1062936</v>
      </c>
      <c r="X305" s="14">
        <v>372960</v>
      </c>
      <c r="Y305" s="14">
        <v>505568</v>
      </c>
      <c r="Z305" s="14">
        <v>1713544</v>
      </c>
      <c r="AA305" s="14">
        <v>5426568</v>
      </c>
      <c r="AB305" s="13">
        <f t="shared" si="9"/>
        <v>19166000</v>
      </c>
    </row>
    <row r="306" spans="1:28" x14ac:dyDescent="0.3">
      <c r="A306" s="11"/>
      <c r="B306" s="12" t="s">
        <v>426</v>
      </c>
      <c r="C306" s="14">
        <v>632</v>
      </c>
      <c r="D306" s="14">
        <v>610</v>
      </c>
      <c r="E306" s="14">
        <v>694</v>
      </c>
      <c r="F306" s="14">
        <v>709</v>
      </c>
      <c r="G306" s="14">
        <v>685</v>
      </c>
      <c r="H306" s="14">
        <v>710</v>
      </c>
      <c r="I306" s="14">
        <v>973</v>
      </c>
      <c r="J306" s="14">
        <v>607</v>
      </c>
      <c r="K306" s="14">
        <v>536</v>
      </c>
      <c r="L306" s="14">
        <v>312</v>
      </c>
      <c r="M306" s="14">
        <v>394</v>
      </c>
      <c r="N306" s="14">
        <v>651</v>
      </c>
      <c r="O306" s="13">
        <f t="shared" si="8"/>
        <v>7513</v>
      </c>
      <c r="P306" s="14">
        <v>1309504</v>
      </c>
      <c r="Q306" s="14">
        <v>1263920</v>
      </c>
      <c r="R306" s="14">
        <v>1437968</v>
      </c>
      <c r="S306" s="14">
        <v>1469048</v>
      </c>
      <c r="T306" s="14">
        <v>1419320</v>
      </c>
      <c r="U306" s="14">
        <v>1471120</v>
      </c>
      <c r="V306" s="14">
        <v>2016056</v>
      </c>
      <c r="W306" s="14">
        <v>1257704</v>
      </c>
      <c r="X306" s="14">
        <v>1110592</v>
      </c>
      <c r="Y306" s="14">
        <v>646464</v>
      </c>
      <c r="Z306" s="14">
        <v>816368</v>
      </c>
      <c r="AA306" s="14">
        <v>1348872</v>
      </c>
      <c r="AB306" s="13">
        <f t="shared" si="9"/>
        <v>15566936</v>
      </c>
    </row>
    <row r="307" spans="1:28" x14ac:dyDescent="0.3">
      <c r="A307" s="11"/>
      <c r="B307" s="12" t="s">
        <v>408</v>
      </c>
      <c r="C307" s="14">
        <v>921</v>
      </c>
      <c r="D307" s="14">
        <v>842</v>
      </c>
      <c r="E307" s="14">
        <v>982</v>
      </c>
      <c r="F307" s="14">
        <v>908</v>
      </c>
      <c r="G307" s="14">
        <v>680</v>
      </c>
      <c r="H307" s="14">
        <v>1097</v>
      </c>
      <c r="I307" s="14">
        <v>1073</v>
      </c>
      <c r="J307" s="14">
        <v>882</v>
      </c>
      <c r="K307" s="14">
        <v>552</v>
      </c>
      <c r="L307" s="14">
        <v>571</v>
      </c>
      <c r="M307" s="14">
        <v>579</v>
      </c>
      <c r="N307" s="14">
        <v>1094</v>
      </c>
      <c r="O307" s="13">
        <f t="shared" si="8"/>
        <v>10181</v>
      </c>
      <c r="P307" s="14">
        <v>1908312</v>
      </c>
      <c r="Q307" s="14">
        <v>1744624</v>
      </c>
      <c r="R307" s="14">
        <v>2034704</v>
      </c>
      <c r="S307" s="14">
        <v>1881376</v>
      </c>
      <c r="T307" s="14">
        <v>1408960</v>
      </c>
      <c r="U307" s="14">
        <v>2272984</v>
      </c>
      <c r="V307" s="14">
        <v>2223256</v>
      </c>
      <c r="W307" s="14">
        <v>1827504</v>
      </c>
      <c r="X307" s="14">
        <v>1143744</v>
      </c>
      <c r="Y307" s="14">
        <v>1183112</v>
      </c>
      <c r="Z307" s="14">
        <v>1199688</v>
      </c>
      <c r="AA307" s="14">
        <v>2266768</v>
      </c>
      <c r="AB307" s="13">
        <f t="shared" si="9"/>
        <v>21095032</v>
      </c>
    </row>
    <row r="308" spans="1:28" x14ac:dyDescent="0.3">
      <c r="A308" s="11"/>
      <c r="B308" s="12" t="s">
        <v>486</v>
      </c>
      <c r="C308" s="14">
        <v>124</v>
      </c>
      <c r="D308" s="14">
        <v>183</v>
      </c>
      <c r="E308" s="14">
        <v>139</v>
      </c>
      <c r="F308" s="14">
        <v>111</v>
      </c>
      <c r="G308" s="14">
        <v>101</v>
      </c>
      <c r="H308" s="14">
        <v>119</v>
      </c>
      <c r="I308" s="14">
        <v>114</v>
      </c>
      <c r="J308" s="14">
        <v>117</v>
      </c>
      <c r="K308" s="14">
        <v>99</v>
      </c>
      <c r="L308" s="14">
        <v>100</v>
      </c>
      <c r="M308" s="14">
        <v>113</v>
      </c>
      <c r="N308" s="14">
        <v>115</v>
      </c>
      <c r="O308" s="13">
        <f t="shared" si="8"/>
        <v>1435</v>
      </c>
      <c r="P308" s="14">
        <v>276024</v>
      </c>
      <c r="Q308" s="14">
        <v>407358</v>
      </c>
      <c r="R308" s="14">
        <v>309414</v>
      </c>
      <c r="S308" s="14">
        <v>247086</v>
      </c>
      <c r="T308" s="14">
        <v>224826</v>
      </c>
      <c r="U308" s="14">
        <v>264894</v>
      </c>
      <c r="V308" s="14">
        <v>253764</v>
      </c>
      <c r="W308" s="14">
        <v>260442</v>
      </c>
      <c r="X308" s="14">
        <v>220374</v>
      </c>
      <c r="Y308" s="14">
        <v>222600</v>
      </c>
      <c r="Z308" s="14">
        <v>251538</v>
      </c>
      <c r="AA308" s="14">
        <v>255990</v>
      </c>
      <c r="AB308" s="13">
        <f t="shared" si="9"/>
        <v>3194310</v>
      </c>
    </row>
    <row r="309" spans="1:28" x14ac:dyDescent="0.3">
      <c r="A309" s="11"/>
      <c r="B309" s="12" t="s">
        <v>326</v>
      </c>
      <c r="C309" s="14">
        <v>663</v>
      </c>
      <c r="D309" s="14">
        <v>814</v>
      </c>
      <c r="E309" s="14">
        <v>682</v>
      </c>
      <c r="F309" s="14">
        <v>646</v>
      </c>
      <c r="G309" s="14">
        <v>621</v>
      </c>
      <c r="H309" s="14">
        <v>702</v>
      </c>
      <c r="I309" s="14">
        <v>695</v>
      </c>
      <c r="J309" s="14">
        <v>726</v>
      </c>
      <c r="K309" s="14">
        <v>633</v>
      </c>
      <c r="L309" s="14">
        <v>611</v>
      </c>
      <c r="M309" s="14">
        <v>644</v>
      </c>
      <c r="N309" s="14">
        <v>600</v>
      </c>
      <c r="O309" s="13">
        <f t="shared" si="8"/>
        <v>8037</v>
      </c>
      <c r="P309" s="14">
        <v>1475838</v>
      </c>
      <c r="Q309" s="14">
        <v>1811964</v>
      </c>
      <c r="R309" s="14">
        <v>1518132</v>
      </c>
      <c r="S309" s="14">
        <v>1437996</v>
      </c>
      <c r="T309" s="14">
        <v>1382346</v>
      </c>
      <c r="U309" s="14">
        <v>1562652</v>
      </c>
      <c r="V309" s="14">
        <v>1547070</v>
      </c>
      <c r="W309" s="14">
        <v>1616076</v>
      </c>
      <c r="X309" s="14">
        <v>1409058</v>
      </c>
      <c r="Y309" s="14">
        <v>1360086</v>
      </c>
      <c r="Z309" s="14">
        <v>1433544</v>
      </c>
      <c r="AA309" s="14">
        <v>1335600</v>
      </c>
      <c r="AB309" s="13">
        <f t="shared" si="9"/>
        <v>17890362</v>
      </c>
    </row>
    <row r="310" spans="1:28" x14ac:dyDescent="0.3">
      <c r="A310" s="11"/>
      <c r="B310" s="12" t="s">
        <v>446</v>
      </c>
      <c r="C310" s="14">
        <v>2379</v>
      </c>
      <c r="D310" s="14">
        <v>2113</v>
      </c>
      <c r="E310" s="14">
        <v>2260</v>
      </c>
      <c r="F310" s="14">
        <v>2187</v>
      </c>
      <c r="G310" s="14">
        <v>1817</v>
      </c>
      <c r="H310" s="14">
        <v>2388</v>
      </c>
      <c r="I310" s="14">
        <v>2499</v>
      </c>
      <c r="J310" s="14">
        <v>1596</v>
      </c>
      <c r="K310" s="14">
        <v>813</v>
      </c>
      <c r="L310" s="14">
        <v>649</v>
      </c>
      <c r="M310" s="14">
        <v>1009</v>
      </c>
      <c r="N310" s="14">
        <v>2250</v>
      </c>
      <c r="O310" s="13">
        <f t="shared" si="8"/>
        <v>21960</v>
      </c>
      <c r="P310" s="14">
        <v>4929288</v>
      </c>
      <c r="Q310" s="14">
        <v>4378136</v>
      </c>
      <c r="R310" s="14">
        <v>4682720</v>
      </c>
      <c r="S310" s="14">
        <v>4531464</v>
      </c>
      <c r="T310" s="14">
        <v>3764824</v>
      </c>
      <c r="U310" s="14">
        <v>4947936</v>
      </c>
      <c r="V310" s="14">
        <v>5177928</v>
      </c>
      <c r="W310" s="14">
        <v>3306912</v>
      </c>
      <c r="X310" s="14">
        <v>1684536</v>
      </c>
      <c r="Y310" s="14">
        <v>1344728</v>
      </c>
      <c r="Z310" s="14">
        <v>2090648</v>
      </c>
      <c r="AA310" s="14">
        <v>4662000</v>
      </c>
      <c r="AB310" s="13">
        <f t="shared" si="9"/>
        <v>45501120</v>
      </c>
    </row>
    <row r="311" spans="1:28" x14ac:dyDescent="0.3">
      <c r="A311" s="11"/>
      <c r="B311" s="12" t="s">
        <v>558</v>
      </c>
      <c r="C311" s="14">
        <v>277</v>
      </c>
      <c r="D311" s="14">
        <v>153</v>
      </c>
      <c r="E311" s="14">
        <v>131</v>
      </c>
      <c r="F311" s="14">
        <v>103</v>
      </c>
      <c r="G311" s="14">
        <v>146</v>
      </c>
      <c r="H311" s="14">
        <v>214</v>
      </c>
      <c r="I311" s="14">
        <v>258</v>
      </c>
      <c r="J311" s="14">
        <v>264</v>
      </c>
      <c r="K311" s="14">
        <v>248</v>
      </c>
      <c r="L311" s="14">
        <v>152</v>
      </c>
      <c r="M311" s="14">
        <v>221</v>
      </c>
      <c r="N311" s="14">
        <v>209</v>
      </c>
      <c r="O311" s="13">
        <f t="shared" si="8"/>
        <v>2376</v>
      </c>
      <c r="P311" s="14">
        <v>616602</v>
      </c>
      <c r="Q311" s="14">
        <v>340578</v>
      </c>
      <c r="R311" s="14">
        <v>291606</v>
      </c>
      <c r="S311" s="14">
        <v>229278</v>
      </c>
      <c r="T311" s="14">
        <v>324996</v>
      </c>
      <c r="U311" s="14">
        <v>476364</v>
      </c>
      <c r="V311" s="14">
        <v>574308</v>
      </c>
      <c r="W311" s="14">
        <v>587664</v>
      </c>
      <c r="X311" s="14">
        <v>552048</v>
      </c>
      <c r="Y311" s="14">
        <v>338352</v>
      </c>
      <c r="Z311" s="14">
        <v>491946</v>
      </c>
      <c r="AA311" s="14">
        <v>465234</v>
      </c>
      <c r="AB311" s="13">
        <f t="shared" si="9"/>
        <v>5288976</v>
      </c>
    </row>
    <row r="312" spans="1:28" x14ac:dyDescent="0.3">
      <c r="A312" s="11"/>
      <c r="B312" s="12" t="s">
        <v>236</v>
      </c>
      <c r="C312" s="14">
        <v>1426</v>
      </c>
      <c r="D312" s="14">
        <v>874</v>
      </c>
      <c r="E312" s="14">
        <v>1043</v>
      </c>
      <c r="F312" s="14">
        <v>1404</v>
      </c>
      <c r="G312" s="14">
        <v>1547</v>
      </c>
      <c r="H312" s="14">
        <v>2291</v>
      </c>
      <c r="I312" s="14">
        <v>1524</v>
      </c>
      <c r="J312" s="14">
        <v>1215</v>
      </c>
      <c r="K312" s="14">
        <v>1129</v>
      </c>
      <c r="L312" s="14">
        <v>955</v>
      </c>
      <c r="M312" s="14">
        <v>1030</v>
      </c>
      <c r="N312" s="14">
        <v>963</v>
      </c>
      <c r="O312" s="13">
        <f t="shared" si="8"/>
        <v>15401</v>
      </c>
      <c r="P312" s="14">
        <v>3174276</v>
      </c>
      <c r="Q312" s="14">
        <v>1945524</v>
      </c>
      <c r="R312" s="14">
        <v>2321718</v>
      </c>
      <c r="S312" s="14">
        <v>3125304</v>
      </c>
      <c r="T312" s="14">
        <v>3443622</v>
      </c>
      <c r="U312" s="14">
        <v>5099766</v>
      </c>
      <c r="V312" s="14">
        <v>3392424</v>
      </c>
      <c r="W312" s="14">
        <v>2704590</v>
      </c>
      <c r="X312" s="14">
        <v>2513154</v>
      </c>
      <c r="Y312" s="14">
        <v>2125830</v>
      </c>
      <c r="Z312" s="14">
        <v>2292780</v>
      </c>
      <c r="AA312" s="14">
        <v>2143638</v>
      </c>
      <c r="AB312" s="13">
        <f t="shared" si="9"/>
        <v>34282626</v>
      </c>
    </row>
    <row r="313" spans="1:28" x14ac:dyDescent="0.3">
      <c r="A313" s="11"/>
      <c r="B313" s="12" t="s">
        <v>232</v>
      </c>
      <c r="C313" s="14">
        <v>66284</v>
      </c>
      <c r="D313" s="14">
        <v>63082</v>
      </c>
      <c r="E313" s="14">
        <v>68962</v>
      </c>
      <c r="F313" s="14">
        <v>73573</v>
      </c>
      <c r="G313" s="14">
        <v>62879</v>
      </c>
      <c r="H313" s="14">
        <v>71131</v>
      </c>
      <c r="I313" s="14">
        <v>74440</v>
      </c>
      <c r="J313" s="14">
        <v>76027</v>
      </c>
      <c r="K313" s="14">
        <v>79741</v>
      </c>
      <c r="L313" s="14">
        <v>77996</v>
      </c>
      <c r="M313" s="14">
        <v>74604</v>
      </c>
      <c r="N313" s="14">
        <v>71499</v>
      </c>
      <c r="O313" s="13">
        <f t="shared" si="8"/>
        <v>860218</v>
      </c>
      <c r="P313" s="14">
        <v>128590960</v>
      </c>
      <c r="Q313" s="14">
        <v>122379080</v>
      </c>
      <c r="R313" s="14">
        <v>133786280</v>
      </c>
      <c r="S313" s="14">
        <v>142731620</v>
      </c>
      <c r="T313" s="14">
        <v>121985260</v>
      </c>
      <c r="U313" s="14">
        <v>137994140</v>
      </c>
      <c r="V313" s="14">
        <v>144413600</v>
      </c>
      <c r="W313" s="14">
        <v>147492380</v>
      </c>
      <c r="X313" s="14">
        <v>154697540</v>
      </c>
      <c r="Y313" s="14">
        <v>151312240</v>
      </c>
      <c r="Z313" s="14">
        <v>144731760</v>
      </c>
      <c r="AA313" s="14">
        <v>138708060</v>
      </c>
      <c r="AB313" s="13">
        <f t="shared" si="9"/>
        <v>1668822920</v>
      </c>
    </row>
    <row r="314" spans="1:28" x14ac:dyDescent="0.3">
      <c r="A314" s="11"/>
      <c r="B314" s="12" t="s">
        <v>472</v>
      </c>
      <c r="C314" s="14">
        <v>1010</v>
      </c>
      <c r="D314" s="14">
        <v>972</v>
      </c>
      <c r="E314" s="14">
        <v>953</v>
      </c>
      <c r="F314" s="14">
        <v>920</v>
      </c>
      <c r="G314" s="14">
        <v>908</v>
      </c>
      <c r="H314" s="14">
        <v>1138</v>
      </c>
      <c r="I314" s="14">
        <v>985</v>
      </c>
      <c r="J314" s="14">
        <v>930</v>
      </c>
      <c r="K314" s="14">
        <v>617</v>
      </c>
      <c r="L314" s="14">
        <v>621</v>
      </c>
      <c r="M314" s="14">
        <v>865</v>
      </c>
      <c r="N314" s="14">
        <v>604</v>
      </c>
      <c r="O314" s="13">
        <f t="shared" si="8"/>
        <v>10523</v>
      </c>
      <c r="P314" s="14">
        <v>2092720</v>
      </c>
      <c r="Q314" s="14">
        <v>2013984</v>
      </c>
      <c r="R314" s="14">
        <v>1974616</v>
      </c>
      <c r="S314" s="14">
        <v>1906240</v>
      </c>
      <c r="T314" s="14">
        <v>1881376</v>
      </c>
      <c r="U314" s="14">
        <v>2357936</v>
      </c>
      <c r="V314" s="14">
        <v>2040920</v>
      </c>
      <c r="W314" s="14">
        <v>1926960</v>
      </c>
      <c r="X314" s="14">
        <v>1278424</v>
      </c>
      <c r="Y314" s="14">
        <v>1286712</v>
      </c>
      <c r="Z314" s="14">
        <v>1792280</v>
      </c>
      <c r="AA314" s="14">
        <v>1251488</v>
      </c>
      <c r="AB314" s="13">
        <f t="shared" si="9"/>
        <v>21803656</v>
      </c>
    </row>
    <row r="315" spans="1:28" x14ac:dyDescent="0.3">
      <c r="A315" s="11"/>
      <c r="B315" s="12" t="s">
        <v>430</v>
      </c>
      <c r="C315" s="14">
        <v>2188</v>
      </c>
      <c r="D315" s="14">
        <v>2075</v>
      </c>
      <c r="E315" s="14">
        <v>2125</v>
      </c>
      <c r="F315" s="14">
        <v>2018</v>
      </c>
      <c r="G315" s="14">
        <v>1517</v>
      </c>
      <c r="H315" s="14">
        <v>2311</v>
      </c>
      <c r="I315" s="14">
        <v>2209</v>
      </c>
      <c r="J315" s="14">
        <v>1766</v>
      </c>
      <c r="K315" s="14">
        <v>949</v>
      </c>
      <c r="L315" s="14">
        <v>655</v>
      </c>
      <c r="M315" s="14">
        <v>925</v>
      </c>
      <c r="N315" s="14">
        <v>2171</v>
      </c>
      <c r="O315" s="13">
        <f t="shared" si="8"/>
        <v>20909</v>
      </c>
      <c r="P315" s="14">
        <v>4533536</v>
      </c>
      <c r="Q315" s="14">
        <v>4299400</v>
      </c>
      <c r="R315" s="14">
        <v>4403000</v>
      </c>
      <c r="S315" s="14">
        <v>4181296</v>
      </c>
      <c r="T315" s="14">
        <v>3143224</v>
      </c>
      <c r="U315" s="14">
        <v>4788392</v>
      </c>
      <c r="V315" s="14">
        <v>4577048</v>
      </c>
      <c r="W315" s="14">
        <v>3659152</v>
      </c>
      <c r="X315" s="14">
        <v>1966328</v>
      </c>
      <c r="Y315" s="14">
        <v>1357160</v>
      </c>
      <c r="Z315" s="14">
        <v>1916600</v>
      </c>
      <c r="AA315" s="14">
        <v>4498312</v>
      </c>
      <c r="AB315" s="13">
        <f t="shared" si="9"/>
        <v>43323448</v>
      </c>
    </row>
    <row r="316" spans="1:28" x14ac:dyDescent="0.3">
      <c r="A316" s="11"/>
      <c r="B316" s="12" t="s">
        <v>449</v>
      </c>
      <c r="C316" s="14">
        <v>1665</v>
      </c>
      <c r="D316" s="14">
        <v>1478</v>
      </c>
      <c r="E316" s="14">
        <v>1602</v>
      </c>
      <c r="F316" s="14">
        <v>1436</v>
      </c>
      <c r="G316" s="14">
        <v>1177</v>
      </c>
      <c r="H316" s="14">
        <v>1655</v>
      </c>
      <c r="I316" s="14">
        <v>1463</v>
      </c>
      <c r="J316" s="14">
        <v>1307</v>
      </c>
      <c r="K316" s="14">
        <v>912</v>
      </c>
      <c r="L316" s="14">
        <v>692</v>
      </c>
      <c r="M316" s="14">
        <v>812</v>
      </c>
      <c r="N316" s="14">
        <v>1343</v>
      </c>
      <c r="O316" s="13">
        <f t="shared" si="8"/>
        <v>15542</v>
      </c>
      <c r="P316" s="14">
        <v>3449880</v>
      </c>
      <c r="Q316" s="14">
        <v>3062416</v>
      </c>
      <c r="R316" s="14">
        <v>3319344</v>
      </c>
      <c r="S316" s="14">
        <v>2975392</v>
      </c>
      <c r="T316" s="14">
        <v>2438744</v>
      </c>
      <c r="U316" s="14">
        <v>3429160</v>
      </c>
      <c r="V316" s="14">
        <v>3031336</v>
      </c>
      <c r="W316" s="14">
        <v>2708104</v>
      </c>
      <c r="X316" s="14">
        <v>1889664</v>
      </c>
      <c r="Y316" s="14">
        <v>1433824</v>
      </c>
      <c r="Z316" s="14">
        <v>1682464</v>
      </c>
      <c r="AA316" s="14">
        <v>2782696</v>
      </c>
      <c r="AB316" s="13">
        <f t="shared" si="9"/>
        <v>32203024</v>
      </c>
    </row>
    <row r="317" spans="1:28" x14ac:dyDescent="0.3">
      <c r="A317" s="11"/>
      <c r="B317" s="12" t="s">
        <v>396</v>
      </c>
      <c r="C317" s="14">
        <v>1102</v>
      </c>
      <c r="D317" s="14">
        <v>949</v>
      </c>
      <c r="E317" s="14">
        <v>1004</v>
      </c>
      <c r="F317" s="14">
        <v>933</v>
      </c>
      <c r="G317" s="14">
        <v>699</v>
      </c>
      <c r="H317" s="14">
        <v>1083</v>
      </c>
      <c r="I317" s="14">
        <v>979</v>
      </c>
      <c r="J317" s="14">
        <v>1008</v>
      </c>
      <c r="K317" s="14">
        <v>645</v>
      </c>
      <c r="L317" s="14">
        <v>694</v>
      </c>
      <c r="M317" s="14">
        <v>964</v>
      </c>
      <c r="N317" s="14">
        <v>1368</v>
      </c>
      <c r="O317" s="13">
        <f t="shared" si="8"/>
        <v>11428</v>
      </c>
      <c r="P317" s="14">
        <v>2283344</v>
      </c>
      <c r="Q317" s="14">
        <v>1966328</v>
      </c>
      <c r="R317" s="14">
        <v>2080288</v>
      </c>
      <c r="S317" s="14">
        <v>1933176</v>
      </c>
      <c r="T317" s="14">
        <v>1448328</v>
      </c>
      <c r="U317" s="14">
        <v>2243976</v>
      </c>
      <c r="V317" s="14">
        <v>2028488</v>
      </c>
      <c r="W317" s="14">
        <v>2088576</v>
      </c>
      <c r="X317" s="14">
        <v>1336440</v>
      </c>
      <c r="Y317" s="14">
        <v>1437968</v>
      </c>
      <c r="Z317" s="14">
        <v>1997408</v>
      </c>
      <c r="AA317" s="14">
        <v>2834496</v>
      </c>
      <c r="AB317" s="13">
        <f t="shared" si="9"/>
        <v>23678816</v>
      </c>
    </row>
    <row r="318" spans="1:28" x14ac:dyDescent="0.3">
      <c r="A318" s="11"/>
      <c r="B318" s="12" t="s">
        <v>475</v>
      </c>
      <c r="C318" s="14">
        <v>5776</v>
      </c>
      <c r="D318" s="14">
        <v>5454</v>
      </c>
      <c r="E318" s="14">
        <v>5652</v>
      </c>
      <c r="F318" s="14">
        <v>4573</v>
      </c>
      <c r="G318" s="14">
        <v>3135</v>
      </c>
      <c r="H318" s="14">
        <v>5561</v>
      </c>
      <c r="I318" s="14">
        <v>5802</v>
      </c>
      <c r="J318" s="14">
        <v>2552</v>
      </c>
      <c r="K318" s="14">
        <v>1015</v>
      </c>
      <c r="L318" s="14">
        <v>1033</v>
      </c>
      <c r="M318" s="14">
        <v>1173</v>
      </c>
      <c r="N318" s="14">
        <v>5670</v>
      </c>
      <c r="O318" s="13">
        <f t="shared" si="8"/>
        <v>47396</v>
      </c>
      <c r="P318" s="14">
        <v>11967872</v>
      </c>
      <c r="Q318" s="14">
        <v>11300688</v>
      </c>
      <c r="R318" s="14">
        <v>11710944</v>
      </c>
      <c r="S318" s="14">
        <v>9475256</v>
      </c>
      <c r="T318" s="14">
        <v>6495720</v>
      </c>
      <c r="U318" s="14">
        <v>11522392</v>
      </c>
      <c r="V318" s="14">
        <v>12021744</v>
      </c>
      <c r="W318" s="14">
        <v>5287744</v>
      </c>
      <c r="X318" s="14">
        <v>2103080</v>
      </c>
      <c r="Y318" s="14">
        <v>2140376</v>
      </c>
      <c r="Z318" s="14">
        <v>2430456</v>
      </c>
      <c r="AA318" s="14">
        <v>11748240</v>
      </c>
      <c r="AB318" s="13">
        <f t="shared" si="9"/>
        <v>98204512</v>
      </c>
    </row>
    <row r="319" spans="1:28" x14ac:dyDescent="0.3">
      <c r="A319" s="11"/>
      <c r="B319" s="12" t="s">
        <v>427</v>
      </c>
      <c r="C319" s="14">
        <v>1449</v>
      </c>
      <c r="D319" s="14">
        <v>1280</v>
      </c>
      <c r="E319" s="14">
        <v>1342</v>
      </c>
      <c r="F319" s="14">
        <v>1185</v>
      </c>
      <c r="G319" s="14">
        <v>970</v>
      </c>
      <c r="H319" s="14">
        <v>1445</v>
      </c>
      <c r="I319" s="14">
        <v>1548</v>
      </c>
      <c r="J319" s="14">
        <v>1349</v>
      </c>
      <c r="K319" s="14">
        <v>775</v>
      </c>
      <c r="L319" s="14">
        <v>647</v>
      </c>
      <c r="M319" s="14">
        <v>976</v>
      </c>
      <c r="N319" s="14">
        <v>1655</v>
      </c>
      <c r="O319" s="13">
        <f t="shared" si="8"/>
        <v>14621</v>
      </c>
      <c r="P319" s="14">
        <v>3002328</v>
      </c>
      <c r="Q319" s="14">
        <v>2652160</v>
      </c>
      <c r="R319" s="14">
        <v>2780624</v>
      </c>
      <c r="S319" s="14">
        <v>2455320</v>
      </c>
      <c r="T319" s="14">
        <v>2009840</v>
      </c>
      <c r="U319" s="14">
        <v>2994040</v>
      </c>
      <c r="V319" s="14">
        <v>3207456</v>
      </c>
      <c r="W319" s="14">
        <v>2795128</v>
      </c>
      <c r="X319" s="14">
        <v>1605800</v>
      </c>
      <c r="Y319" s="14">
        <v>1340584</v>
      </c>
      <c r="Z319" s="14">
        <v>2022272</v>
      </c>
      <c r="AA319" s="14">
        <v>3548048</v>
      </c>
      <c r="AB319" s="13">
        <f t="shared" si="9"/>
        <v>30413600</v>
      </c>
    </row>
    <row r="320" spans="1:28" x14ac:dyDescent="0.3">
      <c r="A320" s="11"/>
      <c r="B320" s="12" t="s">
        <v>166</v>
      </c>
      <c r="C320" s="14">
        <v>925</v>
      </c>
      <c r="D320" s="14">
        <v>761</v>
      </c>
      <c r="E320" s="14">
        <v>591</v>
      </c>
      <c r="F320" s="14">
        <v>552</v>
      </c>
      <c r="G320" s="14">
        <v>461</v>
      </c>
      <c r="H320" s="14">
        <v>716</v>
      </c>
      <c r="I320" s="14">
        <v>948</v>
      </c>
      <c r="J320" s="14">
        <v>1114</v>
      </c>
      <c r="K320" s="14">
        <v>737</v>
      </c>
      <c r="L320" s="14">
        <v>1633</v>
      </c>
      <c r="M320" s="14">
        <v>1763</v>
      </c>
      <c r="N320" s="14">
        <v>1587</v>
      </c>
      <c r="O320" s="13">
        <f t="shared" si="8"/>
        <v>11788</v>
      </c>
      <c r="P320" s="14">
        <v>2059050</v>
      </c>
      <c r="Q320" s="14">
        <v>1693986</v>
      </c>
      <c r="R320" s="14">
        <v>1315566</v>
      </c>
      <c r="S320" s="14">
        <v>1228752</v>
      </c>
      <c r="T320" s="14">
        <v>1026186</v>
      </c>
      <c r="U320" s="14">
        <v>1593816</v>
      </c>
      <c r="V320" s="14">
        <v>2110248</v>
      </c>
      <c r="W320" s="14">
        <v>2479764</v>
      </c>
      <c r="X320" s="14">
        <v>1640562</v>
      </c>
      <c r="Y320" s="14">
        <v>3635058</v>
      </c>
      <c r="Z320" s="14">
        <v>3924438</v>
      </c>
      <c r="AA320" s="14">
        <v>3532662</v>
      </c>
      <c r="AB320" s="13">
        <f t="shared" si="9"/>
        <v>26240088</v>
      </c>
    </row>
    <row r="321" spans="1:28" x14ac:dyDescent="0.3">
      <c r="A321" s="11"/>
      <c r="B321" s="12" t="s">
        <v>527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3">
        <f t="shared" si="8"/>
        <v>0</v>
      </c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3">
        <f t="shared" si="9"/>
        <v>0</v>
      </c>
    </row>
    <row r="322" spans="1:28" x14ac:dyDescent="0.3">
      <c r="A322" s="11"/>
      <c r="B322" s="12" t="s">
        <v>549</v>
      </c>
      <c r="C322" s="14">
        <v>7336</v>
      </c>
      <c r="D322" s="14">
        <v>6576</v>
      </c>
      <c r="E322" s="14">
        <v>6917</v>
      </c>
      <c r="F322" s="14">
        <v>5103</v>
      </c>
      <c r="G322" s="14">
        <v>4521</v>
      </c>
      <c r="H322" s="14">
        <v>7106</v>
      </c>
      <c r="I322" s="14">
        <v>8408</v>
      </c>
      <c r="J322" s="14">
        <v>7546</v>
      </c>
      <c r="K322" s="14">
        <v>7051</v>
      </c>
      <c r="L322" s="14">
        <v>7473</v>
      </c>
      <c r="M322" s="14">
        <v>6910</v>
      </c>
      <c r="N322" s="14">
        <v>6141</v>
      </c>
      <c r="O322" s="13">
        <f t="shared" si="8"/>
        <v>81088</v>
      </c>
      <c r="P322" s="14">
        <v>16329936</v>
      </c>
      <c r="Q322" s="14">
        <v>14638176</v>
      </c>
      <c r="R322" s="14">
        <v>15397242</v>
      </c>
      <c r="S322" s="14">
        <v>11359278</v>
      </c>
      <c r="T322" s="14">
        <v>10063746</v>
      </c>
      <c r="U322" s="14">
        <v>15817956</v>
      </c>
      <c r="V322" s="14">
        <v>18716208</v>
      </c>
      <c r="W322" s="14">
        <v>16797396</v>
      </c>
      <c r="X322" s="14">
        <v>15695526</v>
      </c>
      <c r="Y322" s="14">
        <v>16634898</v>
      </c>
      <c r="Z322" s="14">
        <v>15381660</v>
      </c>
      <c r="AA322" s="14">
        <v>13669866</v>
      </c>
      <c r="AB322" s="13">
        <f t="shared" si="9"/>
        <v>180501888</v>
      </c>
    </row>
    <row r="323" spans="1:28" x14ac:dyDescent="0.3">
      <c r="A323" s="11"/>
      <c r="B323" s="12" t="s">
        <v>405</v>
      </c>
      <c r="C323" s="14">
        <v>1074</v>
      </c>
      <c r="D323" s="14">
        <v>925</v>
      </c>
      <c r="E323" s="14">
        <v>1011</v>
      </c>
      <c r="F323" s="14">
        <v>975</v>
      </c>
      <c r="G323" s="14">
        <v>655</v>
      </c>
      <c r="H323" s="14">
        <v>1095</v>
      </c>
      <c r="I323" s="14">
        <v>986</v>
      </c>
      <c r="J323" s="14">
        <v>953</v>
      </c>
      <c r="K323" s="14">
        <v>276</v>
      </c>
      <c r="L323" s="14">
        <v>410</v>
      </c>
      <c r="M323" s="14">
        <v>646</v>
      </c>
      <c r="N323" s="14">
        <v>1032</v>
      </c>
      <c r="O323" s="13">
        <f t="shared" si="8"/>
        <v>10038</v>
      </c>
      <c r="P323" s="14">
        <v>2225328</v>
      </c>
      <c r="Q323" s="14">
        <v>1916600</v>
      </c>
      <c r="R323" s="14">
        <v>2094792</v>
      </c>
      <c r="S323" s="14">
        <v>2020200</v>
      </c>
      <c r="T323" s="14">
        <v>1357160</v>
      </c>
      <c r="U323" s="14">
        <v>2268840</v>
      </c>
      <c r="V323" s="14">
        <v>2042992</v>
      </c>
      <c r="W323" s="14">
        <v>1974616</v>
      </c>
      <c r="X323" s="14">
        <v>571872</v>
      </c>
      <c r="Y323" s="14">
        <v>849520</v>
      </c>
      <c r="Z323" s="14">
        <v>1338512</v>
      </c>
      <c r="AA323" s="14">
        <v>2138304</v>
      </c>
      <c r="AB323" s="13">
        <f t="shared" si="9"/>
        <v>20798736</v>
      </c>
    </row>
    <row r="324" spans="1:28" x14ac:dyDescent="0.3">
      <c r="A324" s="11"/>
      <c r="B324" s="12" t="s">
        <v>385</v>
      </c>
      <c r="C324" s="14">
        <v>3621</v>
      </c>
      <c r="D324" s="14">
        <v>3331</v>
      </c>
      <c r="E324" s="14">
        <v>3341</v>
      </c>
      <c r="F324" s="14">
        <v>2755</v>
      </c>
      <c r="G324" s="14">
        <v>2025</v>
      </c>
      <c r="H324" s="14">
        <v>3068</v>
      </c>
      <c r="I324" s="14">
        <v>3392</v>
      </c>
      <c r="J324" s="14">
        <v>3020</v>
      </c>
      <c r="K324" s="14">
        <v>1325</v>
      </c>
      <c r="L324" s="14">
        <v>1561</v>
      </c>
      <c r="M324" s="14">
        <v>2027</v>
      </c>
      <c r="N324" s="14">
        <v>3446</v>
      </c>
      <c r="O324" s="13">
        <f t="shared" si="8"/>
        <v>32912</v>
      </c>
      <c r="P324" s="14">
        <v>7502712</v>
      </c>
      <c r="Q324" s="14">
        <v>6901832</v>
      </c>
      <c r="R324" s="14">
        <v>6922552</v>
      </c>
      <c r="S324" s="14">
        <v>5708360</v>
      </c>
      <c r="T324" s="14">
        <v>4195800</v>
      </c>
      <c r="U324" s="14">
        <v>6356896</v>
      </c>
      <c r="V324" s="14">
        <v>7028224</v>
      </c>
      <c r="W324" s="14">
        <v>6257440</v>
      </c>
      <c r="X324" s="14">
        <v>2745400</v>
      </c>
      <c r="Y324" s="14">
        <v>3234392</v>
      </c>
      <c r="Z324" s="14">
        <v>4199944</v>
      </c>
      <c r="AA324" s="14">
        <v>7140112</v>
      </c>
      <c r="AB324" s="13">
        <f t="shared" si="9"/>
        <v>68193664</v>
      </c>
    </row>
    <row r="325" spans="1:28" x14ac:dyDescent="0.3">
      <c r="A325" s="11"/>
      <c r="B325" s="12" t="s">
        <v>162</v>
      </c>
      <c r="C325" s="14">
        <v>2286</v>
      </c>
      <c r="D325" s="14">
        <v>1985</v>
      </c>
      <c r="E325" s="14">
        <v>2159</v>
      </c>
      <c r="F325" s="14">
        <v>1882</v>
      </c>
      <c r="G325" s="14">
        <v>1624</v>
      </c>
      <c r="H325" s="14">
        <v>2519</v>
      </c>
      <c r="I325" s="14">
        <v>3042</v>
      </c>
      <c r="J325" s="14">
        <v>3195</v>
      </c>
      <c r="K325" s="14">
        <v>2905</v>
      </c>
      <c r="L325" s="14">
        <v>2765</v>
      </c>
      <c r="M325" s="14">
        <v>2664</v>
      </c>
      <c r="N325" s="14">
        <v>2530</v>
      </c>
      <c r="O325" s="13">
        <f t="shared" si="8"/>
        <v>29556</v>
      </c>
      <c r="P325" s="14">
        <v>5088636</v>
      </c>
      <c r="Q325" s="14">
        <v>4418610</v>
      </c>
      <c r="R325" s="14">
        <v>4805934</v>
      </c>
      <c r="S325" s="14">
        <v>4189332</v>
      </c>
      <c r="T325" s="14">
        <v>3615024</v>
      </c>
      <c r="U325" s="14">
        <v>5607294</v>
      </c>
      <c r="V325" s="14">
        <v>6771492</v>
      </c>
      <c r="W325" s="14">
        <v>7112070</v>
      </c>
      <c r="X325" s="14">
        <v>6466530</v>
      </c>
      <c r="Y325" s="14">
        <v>6154890</v>
      </c>
      <c r="Z325" s="14">
        <v>5930064</v>
      </c>
      <c r="AA325" s="14">
        <v>5631780</v>
      </c>
      <c r="AB325" s="13">
        <f t="shared" si="9"/>
        <v>65791656</v>
      </c>
    </row>
    <row r="326" spans="1:28" x14ac:dyDescent="0.3">
      <c r="A326" s="11"/>
      <c r="B326" s="12" t="s">
        <v>473</v>
      </c>
      <c r="C326" s="14">
        <v>2207</v>
      </c>
      <c r="D326" s="14">
        <v>1960</v>
      </c>
      <c r="E326" s="14">
        <v>2239</v>
      </c>
      <c r="F326" s="14">
        <v>1873</v>
      </c>
      <c r="G326" s="14">
        <v>1399</v>
      </c>
      <c r="H326" s="14">
        <v>2174</v>
      </c>
      <c r="I326" s="14">
        <v>1782</v>
      </c>
      <c r="J326" s="14">
        <v>1414</v>
      </c>
      <c r="K326" s="14">
        <v>324</v>
      </c>
      <c r="L326" s="14">
        <v>370</v>
      </c>
      <c r="M326" s="14">
        <v>575</v>
      </c>
      <c r="N326" s="14">
        <v>1343</v>
      </c>
      <c r="O326" s="13">
        <f t="shared" si="8"/>
        <v>17660</v>
      </c>
      <c r="P326" s="14">
        <v>4572904</v>
      </c>
      <c r="Q326" s="14">
        <v>4061120</v>
      </c>
      <c r="R326" s="14">
        <v>4639208</v>
      </c>
      <c r="S326" s="14">
        <v>3880856</v>
      </c>
      <c r="T326" s="14">
        <v>2898728</v>
      </c>
      <c r="U326" s="14">
        <v>4504528</v>
      </c>
      <c r="V326" s="14">
        <v>3692304</v>
      </c>
      <c r="W326" s="14">
        <v>2929808</v>
      </c>
      <c r="X326" s="14">
        <v>671328</v>
      </c>
      <c r="Y326" s="14">
        <v>766640</v>
      </c>
      <c r="Z326" s="14">
        <v>1191400</v>
      </c>
      <c r="AA326" s="14">
        <v>2782696</v>
      </c>
      <c r="AB326" s="13">
        <f t="shared" si="9"/>
        <v>36591520</v>
      </c>
    </row>
    <row r="327" spans="1:28" x14ac:dyDescent="0.3">
      <c r="A327" s="11"/>
      <c r="B327" s="12" t="s">
        <v>487</v>
      </c>
      <c r="C327" s="14">
        <v>31</v>
      </c>
      <c r="D327" s="14">
        <v>22</v>
      </c>
      <c r="E327" s="14">
        <v>30</v>
      </c>
      <c r="F327" s="14">
        <v>24</v>
      </c>
      <c r="G327" s="14">
        <v>32</v>
      </c>
      <c r="H327" s="14">
        <v>66</v>
      </c>
      <c r="I327" s="14">
        <v>16</v>
      </c>
      <c r="J327" s="14"/>
      <c r="K327" s="14">
        <v>21</v>
      </c>
      <c r="L327" s="14">
        <v>21</v>
      </c>
      <c r="M327" s="14">
        <v>46</v>
      </c>
      <c r="N327" s="14">
        <v>6</v>
      </c>
      <c r="O327" s="13">
        <f t="shared" ref="O327:O390" si="10">IF(B327="","",SUM(C327:N327))</f>
        <v>315</v>
      </c>
      <c r="P327" s="14">
        <v>69006</v>
      </c>
      <c r="Q327" s="14">
        <v>48972</v>
      </c>
      <c r="R327" s="14">
        <v>66780</v>
      </c>
      <c r="S327" s="14">
        <v>53424</v>
      </c>
      <c r="T327" s="14">
        <v>71232</v>
      </c>
      <c r="U327" s="14">
        <v>146916</v>
      </c>
      <c r="V327" s="14">
        <v>35616</v>
      </c>
      <c r="W327" s="14"/>
      <c r="X327" s="14">
        <v>46746</v>
      </c>
      <c r="Y327" s="14">
        <v>46746</v>
      </c>
      <c r="Z327" s="14">
        <v>102396</v>
      </c>
      <c r="AA327" s="14">
        <v>13356</v>
      </c>
      <c r="AB327" s="13">
        <f t="shared" ref="AB327:AB390" si="11">IF(B327="","",SUM(P327:AA327))</f>
        <v>701190</v>
      </c>
    </row>
    <row r="328" spans="1:28" x14ac:dyDescent="0.3">
      <c r="A328" s="11"/>
      <c r="B328" s="12" t="s">
        <v>488</v>
      </c>
      <c r="C328" s="14">
        <v>11</v>
      </c>
      <c r="D328" s="14">
        <v>52</v>
      </c>
      <c r="E328" s="14">
        <v>20</v>
      </c>
      <c r="F328" s="14">
        <v>46</v>
      </c>
      <c r="G328" s="14">
        <v>108</v>
      </c>
      <c r="H328" s="14">
        <v>67</v>
      </c>
      <c r="I328" s="14">
        <v>10</v>
      </c>
      <c r="J328" s="14">
        <v>12</v>
      </c>
      <c r="K328" s="14">
        <v>22</v>
      </c>
      <c r="L328" s="14">
        <v>18</v>
      </c>
      <c r="M328" s="14">
        <v>32</v>
      </c>
      <c r="N328" s="14">
        <v>28</v>
      </c>
      <c r="O328" s="13">
        <f t="shared" si="10"/>
        <v>426</v>
      </c>
      <c r="P328" s="14">
        <v>24486</v>
      </c>
      <c r="Q328" s="14">
        <v>115752</v>
      </c>
      <c r="R328" s="14">
        <v>44520</v>
      </c>
      <c r="S328" s="14">
        <v>102396</v>
      </c>
      <c r="T328" s="14">
        <v>240408</v>
      </c>
      <c r="U328" s="14">
        <v>149142</v>
      </c>
      <c r="V328" s="14">
        <v>22260</v>
      </c>
      <c r="W328" s="14">
        <v>26712</v>
      </c>
      <c r="X328" s="14">
        <v>48972</v>
      </c>
      <c r="Y328" s="14">
        <v>40068</v>
      </c>
      <c r="Z328" s="14">
        <v>71232</v>
      </c>
      <c r="AA328" s="14">
        <v>62328</v>
      </c>
      <c r="AB328" s="13">
        <f t="shared" si="11"/>
        <v>948276</v>
      </c>
    </row>
    <row r="329" spans="1:28" x14ac:dyDescent="0.3">
      <c r="A329" s="11"/>
      <c r="B329" s="12" t="s">
        <v>489</v>
      </c>
      <c r="C329" s="14"/>
      <c r="D329" s="14">
        <v>39</v>
      </c>
      <c r="E329" s="14"/>
      <c r="F329" s="14">
        <v>7</v>
      </c>
      <c r="G329" s="14">
        <v>19</v>
      </c>
      <c r="H329" s="14">
        <v>27</v>
      </c>
      <c r="I329" s="14">
        <v>10</v>
      </c>
      <c r="J329" s="14"/>
      <c r="K329" s="14"/>
      <c r="L329" s="14"/>
      <c r="M329" s="14"/>
      <c r="N329" s="14"/>
      <c r="O329" s="13">
        <f t="shared" si="10"/>
        <v>102</v>
      </c>
      <c r="P329" s="14"/>
      <c r="Q329" s="14">
        <v>86814</v>
      </c>
      <c r="R329" s="14"/>
      <c r="S329" s="14">
        <v>15582</v>
      </c>
      <c r="T329" s="14">
        <v>42294</v>
      </c>
      <c r="U329" s="14">
        <v>60102</v>
      </c>
      <c r="V329" s="14">
        <v>22260</v>
      </c>
      <c r="W329" s="14"/>
      <c r="X329" s="14"/>
      <c r="Y329" s="14"/>
      <c r="Z329" s="14"/>
      <c r="AA329" s="14"/>
      <c r="AB329" s="13">
        <f t="shared" si="11"/>
        <v>227052</v>
      </c>
    </row>
    <row r="330" spans="1:28" x14ac:dyDescent="0.3">
      <c r="A330" s="11"/>
      <c r="B330" s="12" t="s">
        <v>490</v>
      </c>
      <c r="C330" s="14">
        <v>85</v>
      </c>
      <c r="D330" s="14">
        <v>117</v>
      </c>
      <c r="E330" s="14">
        <v>81</v>
      </c>
      <c r="F330" s="14">
        <v>85</v>
      </c>
      <c r="G330" s="14">
        <v>80</v>
      </c>
      <c r="H330" s="14">
        <v>105</v>
      </c>
      <c r="I330" s="14">
        <v>84</v>
      </c>
      <c r="J330" s="14">
        <v>77</v>
      </c>
      <c r="K330" s="14">
        <v>54</v>
      </c>
      <c r="L330" s="14">
        <v>7</v>
      </c>
      <c r="M330" s="14"/>
      <c r="N330" s="14"/>
      <c r="O330" s="13">
        <f t="shared" si="10"/>
        <v>775</v>
      </c>
      <c r="P330" s="14">
        <v>189210</v>
      </c>
      <c r="Q330" s="14">
        <v>260442</v>
      </c>
      <c r="R330" s="14">
        <v>180306</v>
      </c>
      <c r="S330" s="14">
        <v>189210</v>
      </c>
      <c r="T330" s="14">
        <v>178080</v>
      </c>
      <c r="U330" s="14">
        <v>233730</v>
      </c>
      <c r="V330" s="14">
        <v>186984</v>
      </c>
      <c r="W330" s="14">
        <v>171402</v>
      </c>
      <c r="X330" s="14">
        <v>120204</v>
      </c>
      <c r="Y330" s="14">
        <v>15582</v>
      </c>
      <c r="Z330" s="14"/>
      <c r="AA330" s="14"/>
      <c r="AB330" s="13">
        <f t="shared" si="11"/>
        <v>1725150</v>
      </c>
    </row>
    <row r="331" spans="1:28" x14ac:dyDescent="0.3">
      <c r="A331" s="11"/>
      <c r="B331" s="12" t="s">
        <v>491</v>
      </c>
      <c r="C331" s="14">
        <v>16</v>
      </c>
      <c r="D331" s="14">
        <v>20</v>
      </c>
      <c r="E331" s="14">
        <v>9</v>
      </c>
      <c r="F331" s="14">
        <v>25</v>
      </c>
      <c r="G331" s="14">
        <v>40</v>
      </c>
      <c r="H331" s="14">
        <v>97</v>
      </c>
      <c r="I331" s="14">
        <v>27</v>
      </c>
      <c r="J331" s="14"/>
      <c r="K331" s="14">
        <v>6</v>
      </c>
      <c r="L331" s="14">
        <v>19</v>
      </c>
      <c r="M331" s="14">
        <v>22</v>
      </c>
      <c r="N331" s="14">
        <v>11</v>
      </c>
      <c r="O331" s="13">
        <f t="shared" si="10"/>
        <v>292</v>
      </c>
      <c r="P331" s="14">
        <v>35616</v>
      </c>
      <c r="Q331" s="14">
        <v>44520</v>
      </c>
      <c r="R331" s="14">
        <v>20034</v>
      </c>
      <c r="S331" s="14">
        <v>55650</v>
      </c>
      <c r="T331" s="14">
        <v>89040</v>
      </c>
      <c r="U331" s="14">
        <v>215922</v>
      </c>
      <c r="V331" s="14">
        <v>60102</v>
      </c>
      <c r="W331" s="14"/>
      <c r="X331" s="14">
        <v>13356</v>
      </c>
      <c r="Y331" s="14">
        <v>42294</v>
      </c>
      <c r="Z331" s="14">
        <v>48972</v>
      </c>
      <c r="AA331" s="14">
        <v>24486</v>
      </c>
      <c r="AB331" s="13">
        <f t="shared" si="11"/>
        <v>649992</v>
      </c>
    </row>
    <row r="332" spans="1:28" x14ac:dyDescent="0.3">
      <c r="A332" s="11"/>
      <c r="B332" s="12" t="s">
        <v>524</v>
      </c>
      <c r="C332" s="14">
        <v>7279</v>
      </c>
      <c r="D332" s="14">
        <v>5441</v>
      </c>
      <c r="E332" s="14">
        <v>6267</v>
      </c>
      <c r="F332" s="14">
        <v>5599</v>
      </c>
      <c r="G332" s="14">
        <v>5758</v>
      </c>
      <c r="H332" s="14">
        <v>8167</v>
      </c>
      <c r="I332" s="14">
        <v>10844</v>
      </c>
      <c r="J332" s="14">
        <v>10998</v>
      </c>
      <c r="K332" s="14">
        <v>10609</v>
      </c>
      <c r="L332" s="14">
        <v>11012</v>
      </c>
      <c r="M332" s="14">
        <v>12280</v>
      </c>
      <c r="N332" s="14">
        <v>11001</v>
      </c>
      <c r="O332" s="13">
        <f t="shared" si="10"/>
        <v>105255</v>
      </c>
      <c r="P332" s="14">
        <v>16203054</v>
      </c>
      <c r="Q332" s="14">
        <v>12111666</v>
      </c>
      <c r="R332" s="14">
        <v>13950342</v>
      </c>
      <c r="S332" s="14">
        <v>12463374</v>
      </c>
      <c r="T332" s="14">
        <v>12817308</v>
      </c>
      <c r="U332" s="14">
        <v>18179742</v>
      </c>
      <c r="V332" s="14">
        <v>24138744</v>
      </c>
      <c r="W332" s="14">
        <v>24481548</v>
      </c>
      <c r="X332" s="14">
        <v>23615634</v>
      </c>
      <c r="Y332" s="14">
        <v>24512712</v>
      </c>
      <c r="Z332" s="14">
        <v>27335280</v>
      </c>
      <c r="AA332" s="14">
        <v>24488226</v>
      </c>
      <c r="AB332" s="13">
        <f t="shared" si="11"/>
        <v>234297630</v>
      </c>
    </row>
    <row r="333" spans="1:28" x14ac:dyDescent="0.3">
      <c r="A333" s="11"/>
      <c r="B333" s="12" t="s">
        <v>272</v>
      </c>
      <c r="C333" s="14">
        <v>28</v>
      </c>
      <c r="D333" s="14">
        <v>14</v>
      </c>
      <c r="E333" s="14">
        <v>8</v>
      </c>
      <c r="F333" s="14">
        <v>6</v>
      </c>
      <c r="G333" s="14">
        <v>29</v>
      </c>
      <c r="H333" s="14">
        <v>52</v>
      </c>
      <c r="I333" s="14">
        <v>13</v>
      </c>
      <c r="J333" s="14">
        <v>7</v>
      </c>
      <c r="K333" s="14">
        <v>10</v>
      </c>
      <c r="L333" s="14">
        <v>30</v>
      </c>
      <c r="M333" s="14">
        <v>25</v>
      </c>
      <c r="N333" s="14">
        <v>28</v>
      </c>
      <c r="O333" s="13">
        <f t="shared" si="10"/>
        <v>250</v>
      </c>
      <c r="P333" s="14">
        <v>62328</v>
      </c>
      <c r="Q333" s="14">
        <v>31164</v>
      </c>
      <c r="R333" s="14">
        <v>17808</v>
      </c>
      <c r="S333" s="14">
        <v>13356</v>
      </c>
      <c r="T333" s="14">
        <v>64554</v>
      </c>
      <c r="U333" s="14">
        <v>115752</v>
      </c>
      <c r="V333" s="14">
        <v>28938</v>
      </c>
      <c r="W333" s="14">
        <v>15582</v>
      </c>
      <c r="X333" s="14">
        <v>22260</v>
      </c>
      <c r="Y333" s="14">
        <v>66780</v>
      </c>
      <c r="Z333" s="14">
        <v>55650</v>
      </c>
      <c r="AA333" s="14">
        <v>62328</v>
      </c>
      <c r="AB333" s="13">
        <f t="shared" si="11"/>
        <v>556500</v>
      </c>
    </row>
    <row r="334" spans="1:28" x14ac:dyDescent="0.3">
      <c r="A334" s="11"/>
      <c r="B334" s="12" t="s">
        <v>352</v>
      </c>
      <c r="C334" s="14">
        <v>4462</v>
      </c>
      <c r="D334" s="14">
        <v>3982</v>
      </c>
      <c r="E334" s="14">
        <v>4502</v>
      </c>
      <c r="F334" s="14">
        <v>4172</v>
      </c>
      <c r="G334" s="14">
        <v>2776</v>
      </c>
      <c r="H334" s="14">
        <v>4497</v>
      </c>
      <c r="I334" s="14">
        <v>4304</v>
      </c>
      <c r="J334" s="14">
        <v>3751</v>
      </c>
      <c r="K334" s="14">
        <v>1291</v>
      </c>
      <c r="L334" s="14">
        <v>1265</v>
      </c>
      <c r="M334" s="14">
        <v>1824</v>
      </c>
      <c r="N334" s="14">
        <v>3864</v>
      </c>
      <c r="O334" s="13">
        <f t="shared" si="10"/>
        <v>40690</v>
      </c>
      <c r="P334" s="14">
        <v>9245264</v>
      </c>
      <c r="Q334" s="14">
        <v>8250704</v>
      </c>
      <c r="R334" s="14">
        <v>9328144</v>
      </c>
      <c r="S334" s="14">
        <v>8644384</v>
      </c>
      <c r="T334" s="14">
        <v>5751872</v>
      </c>
      <c r="U334" s="14">
        <v>9317784</v>
      </c>
      <c r="V334" s="14">
        <v>8917888</v>
      </c>
      <c r="W334" s="14">
        <v>7772072</v>
      </c>
      <c r="X334" s="14">
        <v>2674952</v>
      </c>
      <c r="Y334" s="14">
        <v>2621080</v>
      </c>
      <c r="Z334" s="14">
        <v>3779328</v>
      </c>
      <c r="AA334" s="14">
        <v>8006208</v>
      </c>
      <c r="AB334" s="13">
        <f t="shared" si="11"/>
        <v>84309680</v>
      </c>
    </row>
    <row r="335" spans="1:28" x14ac:dyDescent="0.3">
      <c r="A335" s="11"/>
      <c r="B335" s="12" t="s">
        <v>463</v>
      </c>
      <c r="C335" s="14">
        <v>4365</v>
      </c>
      <c r="D335" s="14">
        <v>3964</v>
      </c>
      <c r="E335" s="14">
        <v>3983</v>
      </c>
      <c r="F335" s="14">
        <v>3493</v>
      </c>
      <c r="G335" s="14">
        <v>2714</v>
      </c>
      <c r="H335" s="14">
        <v>4236</v>
      </c>
      <c r="I335" s="14">
        <v>4225</v>
      </c>
      <c r="J335" s="14">
        <v>2596</v>
      </c>
      <c r="K335" s="14">
        <v>984</v>
      </c>
      <c r="L335" s="14">
        <v>595</v>
      </c>
      <c r="M335" s="14">
        <v>1039</v>
      </c>
      <c r="N335" s="14">
        <v>3780</v>
      </c>
      <c r="O335" s="13">
        <f t="shared" si="10"/>
        <v>35974</v>
      </c>
      <c r="P335" s="14">
        <v>9044280</v>
      </c>
      <c r="Q335" s="14">
        <v>8213408</v>
      </c>
      <c r="R335" s="14">
        <v>8252776</v>
      </c>
      <c r="S335" s="14">
        <v>7237496</v>
      </c>
      <c r="T335" s="14">
        <v>5623408</v>
      </c>
      <c r="U335" s="14">
        <v>8776992</v>
      </c>
      <c r="V335" s="14">
        <v>8754200</v>
      </c>
      <c r="W335" s="14">
        <v>5378912</v>
      </c>
      <c r="X335" s="14">
        <v>2038848</v>
      </c>
      <c r="Y335" s="14">
        <v>1232840</v>
      </c>
      <c r="Z335" s="14">
        <v>2152808</v>
      </c>
      <c r="AA335" s="14">
        <v>7832160</v>
      </c>
      <c r="AB335" s="13">
        <f t="shared" si="11"/>
        <v>74538128</v>
      </c>
    </row>
    <row r="336" spans="1:28" x14ac:dyDescent="0.3">
      <c r="A336" s="11"/>
      <c r="B336" s="12" t="s">
        <v>465</v>
      </c>
      <c r="C336" s="14">
        <v>724</v>
      </c>
      <c r="D336" s="14">
        <v>735</v>
      </c>
      <c r="E336" s="14">
        <v>685</v>
      </c>
      <c r="F336" s="14">
        <v>559</v>
      </c>
      <c r="G336" s="14">
        <v>695</v>
      </c>
      <c r="H336" s="14">
        <v>553</v>
      </c>
      <c r="I336" s="14"/>
      <c r="J336" s="14"/>
      <c r="K336" s="14"/>
      <c r="L336" s="14"/>
      <c r="M336" s="14"/>
      <c r="N336" s="14"/>
      <c r="O336" s="13">
        <f t="shared" si="10"/>
        <v>3951</v>
      </c>
      <c r="P336" s="14">
        <v>1611624</v>
      </c>
      <c r="Q336" s="14">
        <v>1636110</v>
      </c>
      <c r="R336" s="14">
        <v>1524810</v>
      </c>
      <c r="S336" s="14">
        <v>1222158</v>
      </c>
      <c r="T336" s="14">
        <v>1440040</v>
      </c>
      <c r="U336" s="14">
        <v>1145816</v>
      </c>
      <c r="V336" s="14"/>
      <c r="W336" s="14"/>
      <c r="X336" s="14"/>
      <c r="Y336" s="14"/>
      <c r="Z336" s="14"/>
      <c r="AA336" s="14"/>
      <c r="AB336" s="13">
        <f t="shared" si="11"/>
        <v>8580558</v>
      </c>
    </row>
    <row r="337" spans="1:28" x14ac:dyDescent="0.3">
      <c r="A337" s="11"/>
      <c r="B337" s="12" t="s">
        <v>526</v>
      </c>
      <c r="C337" s="14">
        <v>114</v>
      </c>
      <c r="D337" s="14">
        <v>124</v>
      </c>
      <c r="E337" s="14">
        <v>22</v>
      </c>
      <c r="F337" s="14">
        <v>23</v>
      </c>
      <c r="G337" s="14">
        <v>58</v>
      </c>
      <c r="H337" s="14">
        <v>56</v>
      </c>
      <c r="I337" s="14">
        <v>35</v>
      </c>
      <c r="J337" s="14">
        <v>41</v>
      </c>
      <c r="K337" s="14">
        <v>254</v>
      </c>
      <c r="L337" s="14">
        <v>566</v>
      </c>
      <c r="M337" s="14">
        <v>600</v>
      </c>
      <c r="N337" s="14">
        <v>641</v>
      </c>
      <c r="O337" s="13">
        <f t="shared" si="10"/>
        <v>2534</v>
      </c>
      <c r="P337" s="14">
        <v>253764</v>
      </c>
      <c r="Q337" s="14">
        <v>276024</v>
      </c>
      <c r="R337" s="14">
        <v>48972</v>
      </c>
      <c r="S337" s="14">
        <v>51198</v>
      </c>
      <c r="T337" s="14">
        <v>129108</v>
      </c>
      <c r="U337" s="14">
        <v>124656</v>
      </c>
      <c r="V337" s="14">
        <v>77910</v>
      </c>
      <c r="W337" s="14">
        <v>91266</v>
      </c>
      <c r="X337" s="14">
        <v>565404</v>
      </c>
      <c r="Y337" s="14">
        <v>1259916</v>
      </c>
      <c r="Z337" s="14">
        <v>1335600</v>
      </c>
      <c r="AA337" s="14">
        <v>1426866</v>
      </c>
      <c r="AB337" s="13">
        <f t="shared" si="11"/>
        <v>5640684</v>
      </c>
    </row>
    <row r="338" spans="1:28" x14ac:dyDescent="0.3">
      <c r="A338" s="11"/>
      <c r="B338" s="12" t="s">
        <v>419</v>
      </c>
      <c r="C338" s="14">
        <v>2837</v>
      </c>
      <c r="D338" s="14">
        <v>2732</v>
      </c>
      <c r="E338" s="14">
        <v>2663</v>
      </c>
      <c r="F338" s="14">
        <v>2555</v>
      </c>
      <c r="G338" s="14">
        <v>1693</v>
      </c>
      <c r="H338" s="14">
        <v>2639</v>
      </c>
      <c r="I338" s="14">
        <v>2649</v>
      </c>
      <c r="J338" s="14">
        <v>2595</v>
      </c>
      <c r="K338" s="14">
        <v>1234</v>
      </c>
      <c r="L338" s="14">
        <v>1790</v>
      </c>
      <c r="M338" s="14">
        <v>1142</v>
      </c>
      <c r="N338" s="14">
        <v>2872</v>
      </c>
      <c r="O338" s="13">
        <f t="shared" si="10"/>
        <v>27401</v>
      </c>
      <c r="P338" s="14">
        <v>5878264</v>
      </c>
      <c r="Q338" s="14">
        <v>5660704</v>
      </c>
      <c r="R338" s="14">
        <v>5517736</v>
      </c>
      <c r="S338" s="14">
        <v>5293960</v>
      </c>
      <c r="T338" s="14">
        <v>3507896</v>
      </c>
      <c r="U338" s="14">
        <v>5468008</v>
      </c>
      <c r="V338" s="14">
        <v>5488728</v>
      </c>
      <c r="W338" s="14">
        <v>5376840</v>
      </c>
      <c r="X338" s="14">
        <v>2556848</v>
      </c>
      <c r="Y338" s="14">
        <v>3708880</v>
      </c>
      <c r="Z338" s="14">
        <v>2366224</v>
      </c>
      <c r="AA338" s="14">
        <v>5950784</v>
      </c>
      <c r="AB338" s="13">
        <f t="shared" si="11"/>
        <v>56774872</v>
      </c>
    </row>
    <row r="339" spans="1:28" x14ac:dyDescent="0.3">
      <c r="A339" s="11"/>
      <c r="B339" s="12" t="s">
        <v>436</v>
      </c>
      <c r="C339" s="14">
        <v>2586</v>
      </c>
      <c r="D339" s="14">
        <v>2303</v>
      </c>
      <c r="E339" s="14">
        <v>2488</v>
      </c>
      <c r="F339" s="14">
        <v>2285</v>
      </c>
      <c r="G339" s="14">
        <v>1676</v>
      </c>
      <c r="H339" s="14">
        <v>2777</v>
      </c>
      <c r="I339" s="14">
        <v>2710</v>
      </c>
      <c r="J339" s="14">
        <v>2286</v>
      </c>
      <c r="K339" s="14">
        <v>899</v>
      </c>
      <c r="L339" s="14">
        <v>872</v>
      </c>
      <c r="M339" s="14">
        <v>1099</v>
      </c>
      <c r="N339" s="14">
        <v>3284</v>
      </c>
      <c r="O339" s="13">
        <f t="shared" si="10"/>
        <v>25265</v>
      </c>
      <c r="P339" s="14">
        <v>5358192</v>
      </c>
      <c r="Q339" s="14">
        <v>4771816</v>
      </c>
      <c r="R339" s="14">
        <v>5155136</v>
      </c>
      <c r="S339" s="14">
        <v>4734520</v>
      </c>
      <c r="T339" s="14">
        <v>3472672</v>
      </c>
      <c r="U339" s="14">
        <v>5753944</v>
      </c>
      <c r="V339" s="14">
        <v>5615120</v>
      </c>
      <c r="W339" s="14">
        <v>4736592</v>
      </c>
      <c r="X339" s="14">
        <v>1862728</v>
      </c>
      <c r="Y339" s="14">
        <v>1806784</v>
      </c>
      <c r="Z339" s="14">
        <v>2277128</v>
      </c>
      <c r="AA339" s="14">
        <v>6804448</v>
      </c>
      <c r="AB339" s="13">
        <f t="shared" si="11"/>
        <v>52349080</v>
      </c>
    </row>
    <row r="340" spans="1:28" x14ac:dyDescent="0.3">
      <c r="A340" s="11"/>
      <c r="B340" s="12" t="s">
        <v>450</v>
      </c>
      <c r="C340" s="14">
        <v>1743</v>
      </c>
      <c r="D340" s="14">
        <v>1731</v>
      </c>
      <c r="E340" s="14">
        <v>1759</v>
      </c>
      <c r="F340" s="14">
        <v>1732</v>
      </c>
      <c r="G340" s="14">
        <v>1394</v>
      </c>
      <c r="H340" s="14">
        <v>2024</v>
      </c>
      <c r="I340" s="14">
        <v>1818</v>
      </c>
      <c r="J340" s="14">
        <v>1620</v>
      </c>
      <c r="K340" s="14">
        <v>840</v>
      </c>
      <c r="L340" s="14">
        <v>750</v>
      </c>
      <c r="M340" s="14">
        <v>1000</v>
      </c>
      <c r="N340" s="14">
        <v>1665</v>
      </c>
      <c r="O340" s="13">
        <f t="shared" si="10"/>
        <v>18076</v>
      </c>
      <c r="P340" s="14">
        <v>3611496</v>
      </c>
      <c r="Q340" s="14">
        <v>3586632</v>
      </c>
      <c r="R340" s="14">
        <v>3644648</v>
      </c>
      <c r="S340" s="14">
        <v>3588704</v>
      </c>
      <c r="T340" s="14">
        <v>2888368</v>
      </c>
      <c r="U340" s="14">
        <v>4193728</v>
      </c>
      <c r="V340" s="14">
        <v>3766896</v>
      </c>
      <c r="W340" s="14">
        <v>3356640</v>
      </c>
      <c r="X340" s="14">
        <v>1740480</v>
      </c>
      <c r="Y340" s="14">
        <v>1554000</v>
      </c>
      <c r="Z340" s="14">
        <v>2072000</v>
      </c>
      <c r="AA340" s="14">
        <v>3449880</v>
      </c>
      <c r="AB340" s="13">
        <f t="shared" si="11"/>
        <v>37453472</v>
      </c>
    </row>
    <row r="341" spans="1:28" x14ac:dyDescent="0.3">
      <c r="A341" s="11"/>
      <c r="B341" s="12" t="s">
        <v>417</v>
      </c>
      <c r="C341" s="14">
        <v>3358</v>
      </c>
      <c r="D341" s="14">
        <v>3172</v>
      </c>
      <c r="E341" s="14">
        <v>3046</v>
      </c>
      <c r="F341" s="14">
        <v>3071</v>
      </c>
      <c r="G341" s="14">
        <v>2031</v>
      </c>
      <c r="H341" s="14">
        <v>3515</v>
      </c>
      <c r="I341" s="14">
        <v>3336</v>
      </c>
      <c r="J341" s="14">
        <v>2909</v>
      </c>
      <c r="K341" s="14">
        <v>1926</v>
      </c>
      <c r="L341" s="14">
        <v>1417</v>
      </c>
      <c r="M341" s="14">
        <v>1470</v>
      </c>
      <c r="N341" s="14">
        <v>3443</v>
      </c>
      <c r="O341" s="13">
        <f t="shared" si="10"/>
        <v>32694</v>
      </c>
      <c r="P341" s="14">
        <v>6957776</v>
      </c>
      <c r="Q341" s="14">
        <v>6572384</v>
      </c>
      <c r="R341" s="14">
        <v>6311312</v>
      </c>
      <c r="S341" s="14">
        <v>6363112</v>
      </c>
      <c r="T341" s="14">
        <v>4208232</v>
      </c>
      <c r="U341" s="14">
        <v>7283080</v>
      </c>
      <c r="V341" s="14">
        <v>6912192</v>
      </c>
      <c r="W341" s="14">
        <v>6027448</v>
      </c>
      <c r="X341" s="14">
        <v>3990672</v>
      </c>
      <c r="Y341" s="14">
        <v>2936024</v>
      </c>
      <c r="Z341" s="14">
        <v>3045840</v>
      </c>
      <c r="AA341" s="14">
        <v>7133896</v>
      </c>
      <c r="AB341" s="13">
        <f t="shared" si="11"/>
        <v>67741968</v>
      </c>
    </row>
    <row r="342" spans="1:28" x14ac:dyDescent="0.3">
      <c r="A342" s="11"/>
      <c r="B342" s="12" t="s">
        <v>561</v>
      </c>
      <c r="C342" s="14">
        <v>1399</v>
      </c>
      <c r="D342" s="14">
        <v>1228</v>
      </c>
      <c r="E342" s="14">
        <v>1460</v>
      </c>
      <c r="F342" s="14">
        <v>1216</v>
      </c>
      <c r="G342" s="14">
        <v>1341</v>
      </c>
      <c r="H342" s="14">
        <v>1806</v>
      </c>
      <c r="I342" s="14">
        <v>1987</v>
      </c>
      <c r="J342" s="14">
        <v>1807</v>
      </c>
      <c r="K342" s="14">
        <v>1539</v>
      </c>
      <c r="L342" s="14">
        <v>1556</v>
      </c>
      <c r="M342" s="14">
        <v>1494</v>
      </c>
      <c r="N342" s="14">
        <v>1361</v>
      </c>
      <c r="O342" s="13">
        <f t="shared" si="10"/>
        <v>18194</v>
      </c>
      <c r="P342" s="14">
        <v>3114174</v>
      </c>
      <c r="Q342" s="14">
        <v>2733528</v>
      </c>
      <c r="R342" s="14">
        <v>3249960</v>
      </c>
      <c r="S342" s="14">
        <v>2706816</v>
      </c>
      <c r="T342" s="14">
        <v>2985066</v>
      </c>
      <c r="U342" s="14">
        <v>4020156</v>
      </c>
      <c r="V342" s="14">
        <v>4423062</v>
      </c>
      <c r="W342" s="14">
        <v>4022382</v>
      </c>
      <c r="X342" s="14">
        <v>3425814</v>
      </c>
      <c r="Y342" s="14">
        <v>3463656</v>
      </c>
      <c r="Z342" s="14">
        <v>3325644</v>
      </c>
      <c r="AA342" s="14">
        <v>3029586</v>
      </c>
      <c r="AB342" s="13">
        <f t="shared" si="11"/>
        <v>40499844</v>
      </c>
    </row>
    <row r="343" spans="1:28" x14ac:dyDescent="0.3">
      <c r="A343" s="11"/>
      <c r="B343" s="12" t="s">
        <v>451</v>
      </c>
      <c r="C343" s="14">
        <v>1368</v>
      </c>
      <c r="D343" s="14">
        <v>1150</v>
      </c>
      <c r="E343" s="14">
        <v>1207</v>
      </c>
      <c r="F343" s="14">
        <v>1191</v>
      </c>
      <c r="G343" s="14">
        <v>802</v>
      </c>
      <c r="H343" s="14">
        <v>1347</v>
      </c>
      <c r="I343" s="14">
        <v>1220</v>
      </c>
      <c r="J343" s="14">
        <v>908</v>
      </c>
      <c r="K343" s="14">
        <v>386</v>
      </c>
      <c r="L343" s="14">
        <v>383</v>
      </c>
      <c r="M343" s="14">
        <v>716</v>
      </c>
      <c r="N343" s="14">
        <v>1224</v>
      </c>
      <c r="O343" s="13">
        <f t="shared" si="10"/>
        <v>11902</v>
      </c>
      <c r="P343" s="14">
        <v>2834496</v>
      </c>
      <c r="Q343" s="14">
        <v>2382800</v>
      </c>
      <c r="R343" s="14">
        <v>2500904</v>
      </c>
      <c r="S343" s="14">
        <v>2467752</v>
      </c>
      <c r="T343" s="14">
        <v>1661744</v>
      </c>
      <c r="U343" s="14">
        <v>2790984</v>
      </c>
      <c r="V343" s="14">
        <v>2527840</v>
      </c>
      <c r="W343" s="14">
        <v>1881376</v>
      </c>
      <c r="X343" s="14">
        <v>799792</v>
      </c>
      <c r="Y343" s="14">
        <v>793576</v>
      </c>
      <c r="Z343" s="14">
        <v>1483552</v>
      </c>
      <c r="AA343" s="14">
        <v>2536128</v>
      </c>
      <c r="AB343" s="13">
        <f t="shared" si="11"/>
        <v>24660944</v>
      </c>
    </row>
    <row r="344" spans="1:28" x14ac:dyDescent="0.3">
      <c r="A344" s="11"/>
      <c r="B344" s="12" t="s">
        <v>435</v>
      </c>
      <c r="C344" s="14">
        <v>7639</v>
      </c>
      <c r="D344" s="14">
        <v>6840</v>
      </c>
      <c r="E344" s="14">
        <v>6352</v>
      </c>
      <c r="F344" s="14">
        <v>5521</v>
      </c>
      <c r="G344" s="14">
        <v>4027</v>
      </c>
      <c r="H344" s="14">
        <v>11071</v>
      </c>
      <c r="I344" s="14">
        <v>10229</v>
      </c>
      <c r="J344" s="14">
        <v>9251</v>
      </c>
      <c r="K344" s="14">
        <v>4328</v>
      </c>
      <c r="L344" s="14">
        <v>5087</v>
      </c>
      <c r="M344" s="14">
        <v>11658</v>
      </c>
      <c r="N344" s="14">
        <v>11804</v>
      </c>
      <c r="O344" s="13">
        <f t="shared" si="10"/>
        <v>93807</v>
      </c>
      <c r="P344" s="14">
        <v>15828008</v>
      </c>
      <c r="Q344" s="14">
        <v>14172480</v>
      </c>
      <c r="R344" s="14">
        <v>13161344</v>
      </c>
      <c r="S344" s="14">
        <v>11439512</v>
      </c>
      <c r="T344" s="14">
        <v>8343944</v>
      </c>
      <c r="U344" s="14">
        <v>22939112</v>
      </c>
      <c r="V344" s="14">
        <v>21194488</v>
      </c>
      <c r="W344" s="14">
        <v>19168072</v>
      </c>
      <c r="X344" s="14">
        <v>8967616</v>
      </c>
      <c r="Y344" s="14">
        <v>10540264</v>
      </c>
      <c r="Z344" s="14">
        <v>24155376</v>
      </c>
      <c r="AA344" s="14">
        <v>24457888</v>
      </c>
      <c r="AB344" s="13">
        <f t="shared" si="11"/>
        <v>194368104</v>
      </c>
    </row>
    <row r="345" spans="1:28" x14ac:dyDescent="0.3">
      <c r="A345" s="11"/>
      <c r="B345" s="12" t="s">
        <v>447</v>
      </c>
      <c r="C345" s="14">
        <v>1591</v>
      </c>
      <c r="D345" s="14">
        <v>2074</v>
      </c>
      <c r="E345" s="14">
        <v>1747</v>
      </c>
      <c r="F345" s="14">
        <v>1557</v>
      </c>
      <c r="G345" s="14">
        <v>1258</v>
      </c>
      <c r="H345" s="14">
        <v>1745</v>
      </c>
      <c r="I345" s="14">
        <v>1834</v>
      </c>
      <c r="J345" s="14">
        <v>1818</v>
      </c>
      <c r="K345" s="14">
        <v>1000</v>
      </c>
      <c r="L345" s="14">
        <v>983</v>
      </c>
      <c r="M345" s="14">
        <v>1139</v>
      </c>
      <c r="N345" s="14">
        <v>1810</v>
      </c>
      <c r="O345" s="13">
        <f t="shared" si="10"/>
        <v>18556</v>
      </c>
      <c r="P345" s="14">
        <v>3296552</v>
      </c>
      <c r="Q345" s="14">
        <v>4297328</v>
      </c>
      <c r="R345" s="14">
        <v>3619784</v>
      </c>
      <c r="S345" s="14">
        <v>3226104</v>
      </c>
      <c r="T345" s="14">
        <v>2606576</v>
      </c>
      <c r="U345" s="14">
        <v>3615640</v>
      </c>
      <c r="V345" s="14">
        <v>3800048</v>
      </c>
      <c r="W345" s="14">
        <v>3766896</v>
      </c>
      <c r="X345" s="14">
        <v>2072000</v>
      </c>
      <c r="Y345" s="14">
        <v>2036776</v>
      </c>
      <c r="Z345" s="14">
        <v>2360008</v>
      </c>
      <c r="AA345" s="14">
        <v>3750320</v>
      </c>
      <c r="AB345" s="13">
        <f t="shared" si="11"/>
        <v>38448032</v>
      </c>
    </row>
    <row r="346" spans="1:28" x14ac:dyDescent="0.3">
      <c r="A346" s="11"/>
      <c r="B346" s="12" t="s">
        <v>288</v>
      </c>
      <c r="C346" s="14">
        <v>1197</v>
      </c>
      <c r="D346" s="14">
        <v>1750</v>
      </c>
      <c r="E346" s="14">
        <v>1857</v>
      </c>
      <c r="F346" s="14">
        <v>2104</v>
      </c>
      <c r="G346" s="14">
        <v>1219</v>
      </c>
      <c r="H346" s="14">
        <v>1193</v>
      </c>
      <c r="I346" s="14">
        <v>1029</v>
      </c>
      <c r="J346" s="14">
        <v>1031</v>
      </c>
      <c r="K346" s="14">
        <v>927</v>
      </c>
      <c r="L346" s="14">
        <v>1480</v>
      </c>
      <c r="M346" s="14">
        <v>1609</v>
      </c>
      <c r="N346" s="14">
        <v>1529</v>
      </c>
      <c r="O346" s="13">
        <f t="shared" si="10"/>
        <v>16925</v>
      </c>
      <c r="P346" s="14">
        <v>2664522</v>
      </c>
      <c r="Q346" s="14">
        <v>3895500</v>
      </c>
      <c r="R346" s="14">
        <v>4133682</v>
      </c>
      <c r="S346" s="14">
        <v>4683504</v>
      </c>
      <c r="T346" s="14">
        <v>2713494</v>
      </c>
      <c r="U346" s="14">
        <v>2655618</v>
      </c>
      <c r="V346" s="14">
        <v>2290554</v>
      </c>
      <c r="W346" s="14">
        <v>2295006</v>
      </c>
      <c r="X346" s="14">
        <v>2063502</v>
      </c>
      <c r="Y346" s="14">
        <v>3294480</v>
      </c>
      <c r="Z346" s="14">
        <v>3581634</v>
      </c>
      <c r="AA346" s="14">
        <v>3403554</v>
      </c>
      <c r="AB346" s="13">
        <f t="shared" si="11"/>
        <v>37675050</v>
      </c>
    </row>
    <row r="347" spans="1:28" x14ac:dyDescent="0.3">
      <c r="A347" s="11"/>
      <c r="B347" s="12" t="s">
        <v>492</v>
      </c>
      <c r="C347" s="14">
        <v>354</v>
      </c>
      <c r="D347" s="14">
        <v>463</v>
      </c>
      <c r="E347" s="14">
        <v>349</v>
      </c>
      <c r="F347" s="14">
        <v>340</v>
      </c>
      <c r="G347" s="14">
        <v>344</v>
      </c>
      <c r="H347" s="14">
        <v>426</v>
      </c>
      <c r="I347" s="14">
        <v>451</v>
      </c>
      <c r="J347" s="14">
        <v>235</v>
      </c>
      <c r="K347" s="14">
        <v>193</v>
      </c>
      <c r="L347" s="14">
        <v>456</v>
      </c>
      <c r="M347" s="14">
        <v>1418</v>
      </c>
      <c r="N347" s="14">
        <v>595</v>
      </c>
      <c r="O347" s="13">
        <f t="shared" si="10"/>
        <v>5624</v>
      </c>
      <c r="P347" s="14">
        <v>788004</v>
      </c>
      <c r="Q347" s="14">
        <v>1030638</v>
      </c>
      <c r="R347" s="14">
        <v>776874</v>
      </c>
      <c r="S347" s="14">
        <v>756840</v>
      </c>
      <c r="T347" s="14">
        <v>765744</v>
      </c>
      <c r="U347" s="14">
        <v>948276</v>
      </c>
      <c r="V347" s="14">
        <v>1003926</v>
      </c>
      <c r="W347" s="14">
        <v>523110</v>
      </c>
      <c r="X347" s="14">
        <v>429618</v>
      </c>
      <c r="Y347" s="14">
        <v>1015056</v>
      </c>
      <c r="Z347" s="14">
        <v>3156468</v>
      </c>
      <c r="AA347" s="14">
        <v>1324470</v>
      </c>
      <c r="AB347" s="13">
        <f t="shared" si="11"/>
        <v>12519024</v>
      </c>
    </row>
    <row r="348" spans="1:28" x14ac:dyDescent="0.3">
      <c r="A348" s="11"/>
      <c r="B348" s="12" t="s">
        <v>493</v>
      </c>
      <c r="C348" s="14">
        <v>3593</v>
      </c>
      <c r="D348" s="14">
        <v>3951</v>
      </c>
      <c r="E348" s="14">
        <v>3431</v>
      </c>
      <c r="F348" s="14">
        <v>2737</v>
      </c>
      <c r="G348" s="14">
        <v>2989</v>
      </c>
      <c r="H348" s="14">
        <v>4194</v>
      </c>
      <c r="I348" s="14">
        <v>4534</v>
      </c>
      <c r="J348" s="14">
        <v>5007</v>
      </c>
      <c r="K348" s="14">
        <v>4830</v>
      </c>
      <c r="L348" s="14">
        <v>4530</v>
      </c>
      <c r="M348" s="14">
        <v>4418</v>
      </c>
      <c r="N348" s="14">
        <v>3668</v>
      </c>
      <c r="O348" s="13">
        <f t="shared" si="10"/>
        <v>47882</v>
      </c>
      <c r="P348" s="14">
        <v>7998018</v>
      </c>
      <c r="Q348" s="14">
        <v>8794926</v>
      </c>
      <c r="R348" s="14">
        <v>7637406</v>
      </c>
      <c r="S348" s="14">
        <v>6092562</v>
      </c>
      <c r="T348" s="14">
        <v>6653514</v>
      </c>
      <c r="U348" s="14">
        <v>9335844</v>
      </c>
      <c r="V348" s="14">
        <v>10092684</v>
      </c>
      <c r="W348" s="14">
        <v>11145582</v>
      </c>
      <c r="X348" s="14">
        <v>10751580</v>
      </c>
      <c r="Y348" s="14">
        <v>10083780</v>
      </c>
      <c r="Z348" s="14">
        <v>9834468</v>
      </c>
      <c r="AA348" s="14">
        <v>8164968</v>
      </c>
      <c r="AB348" s="13">
        <f t="shared" si="11"/>
        <v>106585332</v>
      </c>
    </row>
    <row r="349" spans="1:28" x14ac:dyDescent="0.3">
      <c r="A349" s="11"/>
      <c r="B349" s="12" t="s">
        <v>494</v>
      </c>
      <c r="C349" s="14">
        <v>2882</v>
      </c>
      <c r="D349" s="14">
        <v>3029</v>
      </c>
      <c r="E349" s="14">
        <v>2261</v>
      </c>
      <c r="F349" s="14">
        <v>1692</v>
      </c>
      <c r="G349" s="14">
        <v>1576</v>
      </c>
      <c r="H349" s="14">
        <v>2321</v>
      </c>
      <c r="I349" s="14">
        <v>2102</v>
      </c>
      <c r="J349" s="14">
        <v>2356</v>
      </c>
      <c r="K349" s="14">
        <v>2120</v>
      </c>
      <c r="L349" s="14">
        <v>1708</v>
      </c>
      <c r="M349" s="14">
        <v>932</v>
      </c>
      <c r="N349" s="14">
        <v>334</v>
      </c>
      <c r="O349" s="13">
        <f t="shared" si="10"/>
        <v>23313</v>
      </c>
      <c r="P349" s="14">
        <v>6415332</v>
      </c>
      <c r="Q349" s="14">
        <v>6742554</v>
      </c>
      <c r="R349" s="14">
        <v>5032986</v>
      </c>
      <c r="S349" s="14">
        <v>3766392</v>
      </c>
      <c r="T349" s="14">
        <v>3508176</v>
      </c>
      <c r="U349" s="14">
        <v>5166546</v>
      </c>
      <c r="V349" s="14">
        <v>4679052</v>
      </c>
      <c r="W349" s="14">
        <v>5244456</v>
      </c>
      <c r="X349" s="14">
        <v>4719120</v>
      </c>
      <c r="Y349" s="14">
        <v>3802008</v>
      </c>
      <c r="Z349" s="14">
        <v>2074632</v>
      </c>
      <c r="AA349" s="14">
        <v>743484</v>
      </c>
      <c r="AB349" s="13">
        <f t="shared" si="11"/>
        <v>51894738</v>
      </c>
    </row>
    <row r="350" spans="1:28" x14ac:dyDescent="0.3">
      <c r="A350" s="11"/>
      <c r="B350" s="12" t="s">
        <v>495</v>
      </c>
      <c r="C350" s="14">
        <v>1539</v>
      </c>
      <c r="D350" s="14">
        <v>1719</v>
      </c>
      <c r="E350" s="14">
        <v>1391</v>
      </c>
      <c r="F350" s="14">
        <v>1186</v>
      </c>
      <c r="G350" s="14">
        <v>1319</v>
      </c>
      <c r="H350" s="14">
        <v>1527</v>
      </c>
      <c r="I350" s="14">
        <v>1746</v>
      </c>
      <c r="J350" s="14">
        <v>1980</v>
      </c>
      <c r="K350" s="14">
        <v>1616</v>
      </c>
      <c r="L350" s="14">
        <v>1448</v>
      </c>
      <c r="M350" s="14">
        <v>1628</v>
      </c>
      <c r="N350" s="14">
        <v>1528</v>
      </c>
      <c r="O350" s="13">
        <f t="shared" si="10"/>
        <v>18627</v>
      </c>
      <c r="P350" s="14">
        <v>3425814</v>
      </c>
      <c r="Q350" s="14">
        <v>3826494</v>
      </c>
      <c r="R350" s="14">
        <v>3096366</v>
      </c>
      <c r="S350" s="14">
        <v>2640036</v>
      </c>
      <c r="T350" s="14">
        <v>2936094</v>
      </c>
      <c r="U350" s="14">
        <v>3399102</v>
      </c>
      <c r="V350" s="14">
        <v>3886596</v>
      </c>
      <c r="W350" s="14">
        <v>4407480</v>
      </c>
      <c r="X350" s="14">
        <v>3597216</v>
      </c>
      <c r="Y350" s="14">
        <v>3223248</v>
      </c>
      <c r="Z350" s="14">
        <v>3623928</v>
      </c>
      <c r="AA350" s="14">
        <v>3401328</v>
      </c>
      <c r="AB350" s="13">
        <f t="shared" si="11"/>
        <v>41463702</v>
      </c>
    </row>
    <row r="351" spans="1:28" x14ac:dyDescent="0.3">
      <c r="A351" s="11"/>
      <c r="B351" s="12" t="s">
        <v>169</v>
      </c>
      <c r="C351" s="14">
        <v>992</v>
      </c>
      <c r="D351" s="14">
        <v>1095</v>
      </c>
      <c r="E351" s="14">
        <v>1333</v>
      </c>
      <c r="F351" s="14">
        <v>1063</v>
      </c>
      <c r="G351" s="14">
        <v>930</v>
      </c>
      <c r="H351" s="14">
        <v>837</v>
      </c>
      <c r="I351" s="14">
        <v>838</v>
      </c>
      <c r="J351" s="14">
        <v>3734</v>
      </c>
      <c r="K351" s="14">
        <v>8200</v>
      </c>
      <c r="L351" s="14">
        <v>11370</v>
      </c>
      <c r="M351" s="14">
        <v>13292</v>
      </c>
      <c r="N351" s="14">
        <v>13291</v>
      </c>
      <c r="O351" s="13">
        <f t="shared" si="10"/>
        <v>56975</v>
      </c>
      <c r="P351" s="14">
        <v>2208192</v>
      </c>
      <c r="Q351" s="14">
        <v>2437470</v>
      </c>
      <c r="R351" s="14">
        <v>2967258</v>
      </c>
      <c r="S351" s="14">
        <v>2366238</v>
      </c>
      <c r="T351" s="14">
        <v>2070180</v>
      </c>
      <c r="U351" s="14">
        <v>1863162</v>
      </c>
      <c r="V351" s="14">
        <v>1865388</v>
      </c>
      <c r="W351" s="14">
        <v>8311884</v>
      </c>
      <c r="X351" s="14">
        <v>18253200</v>
      </c>
      <c r="Y351" s="14">
        <v>25309620</v>
      </c>
      <c r="Z351" s="14">
        <v>29587992</v>
      </c>
      <c r="AA351" s="14">
        <v>29585766</v>
      </c>
      <c r="AB351" s="13">
        <f t="shared" si="11"/>
        <v>126826350</v>
      </c>
    </row>
    <row r="352" spans="1:28" x14ac:dyDescent="0.3">
      <c r="A352" s="11"/>
      <c r="B352" s="12" t="s">
        <v>170</v>
      </c>
      <c r="C352" s="14">
        <v>48</v>
      </c>
      <c r="D352" s="14">
        <v>51</v>
      </c>
      <c r="E352" s="14">
        <v>51</v>
      </c>
      <c r="F352" s="14">
        <v>46</v>
      </c>
      <c r="G352" s="14">
        <v>51</v>
      </c>
      <c r="H352" s="14">
        <v>54</v>
      </c>
      <c r="I352" s="14">
        <v>51</v>
      </c>
      <c r="J352" s="14">
        <v>67</v>
      </c>
      <c r="K352" s="14">
        <v>72</v>
      </c>
      <c r="L352" s="14">
        <v>74</v>
      </c>
      <c r="M352" s="14">
        <v>73</v>
      </c>
      <c r="N352" s="14">
        <v>67</v>
      </c>
      <c r="O352" s="13">
        <f t="shared" si="10"/>
        <v>705</v>
      </c>
      <c r="P352" s="14">
        <v>106848</v>
      </c>
      <c r="Q352" s="14">
        <v>113526</v>
      </c>
      <c r="R352" s="14">
        <v>113526</v>
      </c>
      <c r="S352" s="14">
        <v>102396</v>
      </c>
      <c r="T352" s="14">
        <v>113526</v>
      </c>
      <c r="U352" s="14">
        <v>120204</v>
      </c>
      <c r="V352" s="14">
        <v>113526</v>
      </c>
      <c r="W352" s="14">
        <v>149142</v>
      </c>
      <c r="X352" s="14">
        <v>160272</v>
      </c>
      <c r="Y352" s="14">
        <v>164724</v>
      </c>
      <c r="Z352" s="14">
        <v>162498</v>
      </c>
      <c r="AA352" s="14">
        <v>149142</v>
      </c>
      <c r="AB352" s="13">
        <f t="shared" si="11"/>
        <v>1569330</v>
      </c>
    </row>
    <row r="353" spans="1:28" x14ac:dyDescent="0.3">
      <c r="A353" s="11"/>
      <c r="B353" s="12" t="s">
        <v>171</v>
      </c>
      <c r="C353" s="14">
        <v>39</v>
      </c>
      <c r="D353" s="14">
        <v>55</v>
      </c>
      <c r="E353" s="14">
        <v>45</v>
      </c>
      <c r="F353" s="14">
        <v>44</v>
      </c>
      <c r="G353" s="14">
        <v>42</v>
      </c>
      <c r="H353" s="14">
        <v>29</v>
      </c>
      <c r="I353" s="14">
        <v>45</v>
      </c>
      <c r="J353" s="14">
        <v>60</v>
      </c>
      <c r="K353" s="14">
        <v>66</v>
      </c>
      <c r="L353" s="14">
        <v>60</v>
      </c>
      <c r="M353" s="14">
        <v>73</v>
      </c>
      <c r="N353" s="14">
        <v>63</v>
      </c>
      <c r="O353" s="13">
        <f t="shared" si="10"/>
        <v>621</v>
      </c>
      <c r="P353" s="14">
        <v>86814</v>
      </c>
      <c r="Q353" s="14">
        <v>122430</v>
      </c>
      <c r="R353" s="14">
        <v>100170</v>
      </c>
      <c r="S353" s="14">
        <v>97944</v>
      </c>
      <c r="T353" s="14">
        <v>93492</v>
      </c>
      <c r="U353" s="14">
        <v>64554</v>
      </c>
      <c r="V353" s="14">
        <v>100170</v>
      </c>
      <c r="W353" s="14">
        <v>133560</v>
      </c>
      <c r="X353" s="14">
        <v>146916</v>
      </c>
      <c r="Y353" s="14">
        <v>133560</v>
      </c>
      <c r="Z353" s="14">
        <v>162498</v>
      </c>
      <c r="AA353" s="14">
        <v>140238</v>
      </c>
      <c r="AB353" s="13">
        <f t="shared" si="11"/>
        <v>1382346</v>
      </c>
    </row>
    <row r="354" spans="1:28" x14ac:dyDescent="0.3">
      <c r="A354" s="11"/>
      <c r="B354" s="12" t="s">
        <v>172</v>
      </c>
      <c r="C354" s="14">
        <v>6</v>
      </c>
      <c r="D354" s="14">
        <v>10</v>
      </c>
      <c r="E354" s="14">
        <v>9</v>
      </c>
      <c r="F354" s="14">
        <v>6</v>
      </c>
      <c r="G354" s="14">
        <v>9</v>
      </c>
      <c r="H354" s="14">
        <v>9</v>
      </c>
      <c r="I354" s="14">
        <v>9</v>
      </c>
      <c r="J354" s="14">
        <v>9</v>
      </c>
      <c r="K354" s="14">
        <v>10</v>
      </c>
      <c r="L354" s="14">
        <v>10</v>
      </c>
      <c r="M354" s="14">
        <v>9</v>
      </c>
      <c r="N354" s="14">
        <v>10</v>
      </c>
      <c r="O354" s="13">
        <f t="shared" si="10"/>
        <v>106</v>
      </c>
      <c r="P354" s="14">
        <v>13356</v>
      </c>
      <c r="Q354" s="14">
        <v>22260</v>
      </c>
      <c r="R354" s="14">
        <v>20034</v>
      </c>
      <c r="S354" s="14">
        <v>13356</v>
      </c>
      <c r="T354" s="14">
        <v>20034</v>
      </c>
      <c r="U354" s="14">
        <v>20034</v>
      </c>
      <c r="V354" s="14">
        <v>20034</v>
      </c>
      <c r="W354" s="14">
        <v>20034</v>
      </c>
      <c r="X354" s="14">
        <v>22260</v>
      </c>
      <c r="Y354" s="14">
        <v>22260</v>
      </c>
      <c r="Z354" s="14">
        <v>20034</v>
      </c>
      <c r="AA354" s="14">
        <v>22260</v>
      </c>
      <c r="AB354" s="13">
        <f t="shared" si="11"/>
        <v>235956</v>
      </c>
    </row>
    <row r="355" spans="1:28" x14ac:dyDescent="0.3">
      <c r="A355" s="11"/>
      <c r="B355" s="12" t="s">
        <v>173</v>
      </c>
      <c r="C355" s="14">
        <v>37</v>
      </c>
      <c r="D355" s="14">
        <v>54</v>
      </c>
      <c r="E355" s="14">
        <v>44</v>
      </c>
      <c r="F355" s="14">
        <v>41</v>
      </c>
      <c r="G355" s="14">
        <v>40</v>
      </c>
      <c r="H355" s="14">
        <v>45</v>
      </c>
      <c r="I355" s="14">
        <v>42</v>
      </c>
      <c r="J355" s="14">
        <v>60</v>
      </c>
      <c r="K355" s="14">
        <v>66</v>
      </c>
      <c r="L355" s="14">
        <v>67</v>
      </c>
      <c r="M355" s="14">
        <v>68</v>
      </c>
      <c r="N355" s="14">
        <v>66</v>
      </c>
      <c r="O355" s="13">
        <f t="shared" si="10"/>
        <v>630</v>
      </c>
      <c r="P355" s="14">
        <v>82362</v>
      </c>
      <c r="Q355" s="14">
        <v>120204</v>
      </c>
      <c r="R355" s="14">
        <v>97944</v>
      </c>
      <c r="S355" s="14">
        <v>91266</v>
      </c>
      <c r="T355" s="14">
        <v>89040</v>
      </c>
      <c r="U355" s="14">
        <v>100170</v>
      </c>
      <c r="V355" s="14">
        <v>93492</v>
      </c>
      <c r="W355" s="14">
        <v>133560</v>
      </c>
      <c r="X355" s="14">
        <v>146916</v>
      </c>
      <c r="Y355" s="14">
        <v>149142</v>
      </c>
      <c r="Z355" s="14">
        <v>151368</v>
      </c>
      <c r="AA355" s="14">
        <v>146916</v>
      </c>
      <c r="AB355" s="13">
        <f t="shared" si="11"/>
        <v>1402380</v>
      </c>
    </row>
    <row r="356" spans="1:28" x14ac:dyDescent="0.3">
      <c r="A356" s="11"/>
      <c r="B356" s="12" t="s">
        <v>174</v>
      </c>
      <c r="C356" s="14">
        <v>47</v>
      </c>
      <c r="D356" s="14">
        <v>61</v>
      </c>
      <c r="E356" s="14">
        <v>53</v>
      </c>
      <c r="F356" s="14">
        <v>48</v>
      </c>
      <c r="G356" s="14">
        <v>48</v>
      </c>
      <c r="H356" s="14">
        <v>46</v>
      </c>
      <c r="I356" s="14">
        <v>52</v>
      </c>
      <c r="J356" s="14">
        <v>73</v>
      </c>
      <c r="K356" s="14">
        <v>80</v>
      </c>
      <c r="L356" s="14">
        <v>81</v>
      </c>
      <c r="M356" s="14">
        <v>81</v>
      </c>
      <c r="N356" s="14">
        <v>83</v>
      </c>
      <c r="O356" s="13">
        <f t="shared" si="10"/>
        <v>753</v>
      </c>
      <c r="P356" s="14">
        <v>104622</v>
      </c>
      <c r="Q356" s="14">
        <v>135786</v>
      </c>
      <c r="R356" s="14">
        <v>117978</v>
      </c>
      <c r="S356" s="14">
        <v>106848</v>
      </c>
      <c r="T356" s="14">
        <v>106848</v>
      </c>
      <c r="U356" s="14">
        <v>102396</v>
      </c>
      <c r="V356" s="14">
        <v>115752</v>
      </c>
      <c r="W356" s="14">
        <v>162498</v>
      </c>
      <c r="X356" s="14">
        <v>178080</v>
      </c>
      <c r="Y356" s="14">
        <v>180306</v>
      </c>
      <c r="Z356" s="14">
        <v>180306</v>
      </c>
      <c r="AA356" s="14">
        <v>184758</v>
      </c>
      <c r="AB356" s="13">
        <f t="shared" si="11"/>
        <v>1676178</v>
      </c>
    </row>
    <row r="357" spans="1:28" x14ac:dyDescent="0.3">
      <c r="A357" s="11"/>
      <c r="B357" s="12" t="s">
        <v>175</v>
      </c>
      <c r="C357" s="14">
        <v>6</v>
      </c>
      <c r="D357" s="14">
        <v>10</v>
      </c>
      <c r="E357" s="14">
        <v>8</v>
      </c>
      <c r="F357" s="14">
        <v>10</v>
      </c>
      <c r="G357" s="14">
        <v>7</v>
      </c>
      <c r="H357" s="14">
        <v>8</v>
      </c>
      <c r="I357" s="14">
        <v>8</v>
      </c>
      <c r="J357" s="14">
        <v>10</v>
      </c>
      <c r="K357" s="14">
        <v>10</v>
      </c>
      <c r="L357" s="14">
        <v>10</v>
      </c>
      <c r="M357" s="14">
        <v>11</v>
      </c>
      <c r="N357" s="14">
        <v>16</v>
      </c>
      <c r="O357" s="13">
        <f t="shared" si="10"/>
        <v>114</v>
      </c>
      <c r="P357" s="14">
        <v>13356</v>
      </c>
      <c r="Q357" s="14">
        <v>22260</v>
      </c>
      <c r="R357" s="14">
        <v>17808</v>
      </c>
      <c r="S357" s="14">
        <v>22260</v>
      </c>
      <c r="T357" s="14">
        <v>15582</v>
      </c>
      <c r="U357" s="14">
        <v>17808</v>
      </c>
      <c r="V357" s="14">
        <v>17808</v>
      </c>
      <c r="W357" s="14">
        <v>22260</v>
      </c>
      <c r="X357" s="14">
        <v>22260</v>
      </c>
      <c r="Y357" s="14">
        <v>22260</v>
      </c>
      <c r="Z357" s="14">
        <v>24486</v>
      </c>
      <c r="AA357" s="14">
        <v>35616</v>
      </c>
      <c r="AB357" s="13">
        <f t="shared" si="11"/>
        <v>253764</v>
      </c>
    </row>
    <row r="358" spans="1:28" x14ac:dyDescent="0.3">
      <c r="A358" s="11"/>
      <c r="B358" s="12" t="s">
        <v>176</v>
      </c>
      <c r="C358" s="14">
        <v>16</v>
      </c>
      <c r="D358" s="14">
        <v>23</v>
      </c>
      <c r="E358" s="14">
        <v>21</v>
      </c>
      <c r="F358" s="14">
        <v>17</v>
      </c>
      <c r="G358" s="14">
        <v>19</v>
      </c>
      <c r="H358" s="14">
        <v>20</v>
      </c>
      <c r="I358" s="14">
        <v>20</v>
      </c>
      <c r="J358" s="14">
        <v>17</v>
      </c>
      <c r="K358" s="14">
        <v>17</v>
      </c>
      <c r="L358" s="14">
        <v>16</v>
      </c>
      <c r="M358" s="14">
        <v>17</v>
      </c>
      <c r="N358" s="14">
        <v>19</v>
      </c>
      <c r="O358" s="13">
        <f t="shared" si="10"/>
        <v>222</v>
      </c>
      <c r="P358" s="14">
        <v>35616</v>
      </c>
      <c r="Q358" s="14">
        <v>51198</v>
      </c>
      <c r="R358" s="14">
        <v>46746</v>
      </c>
      <c r="S358" s="14">
        <v>37842</v>
      </c>
      <c r="T358" s="14">
        <v>42294</v>
      </c>
      <c r="U358" s="14">
        <v>44520</v>
      </c>
      <c r="V358" s="14">
        <v>44520</v>
      </c>
      <c r="W358" s="14">
        <v>37842</v>
      </c>
      <c r="X358" s="14">
        <v>37842</v>
      </c>
      <c r="Y358" s="14">
        <v>35616</v>
      </c>
      <c r="Z358" s="14">
        <v>37842</v>
      </c>
      <c r="AA358" s="14">
        <v>42294</v>
      </c>
      <c r="AB358" s="13">
        <f t="shared" si="11"/>
        <v>494172</v>
      </c>
    </row>
    <row r="359" spans="1:28" x14ac:dyDescent="0.3">
      <c r="A359" s="11"/>
      <c r="B359" s="12" t="s">
        <v>177</v>
      </c>
      <c r="C359" s="14">
        <v>16</v>
      </c>
      <c r="D359" s="14">
        <v>25</v>
      </c>
      <c r="E359" s="14">
        <v>21</v>
      </c>
      <c r="F359" s="14">
        <v>16</v>
      </c>
      <c r="G359" s="14">
        <v>19</v>
      </c>
      <c r="H359" s="14">
        <v>21</v>
      </c>
      <c r="I359" s="14">
        <v>19</v>
      </c>
      <c r="J359" s="14">
        <v>17</v>
      </c>
      <c r="K359" s="14">
        <v>6</v>
      </c>
      <c r="L359" s="14">
        <v>17</v>
      </c>
      <c r="M359" s="14">
        <v>17</v>
      </c>
      <c r="N359" s="14">
        <v>18</v>
      </c>
      <c r="O359" s="13">
        <f t="shared" si="10"/>
        <v>212</v>
      </c>
      <c r="P359" s="14">
        <v>35616</v>
      </c>
      <c r="Q359" s="14">
        <v>55650</v>
      </c>
      <c r="R359" s="14">
        <v>46746</v>
      </c>
      <c r="S359" s="14">
        <v>35616</v>
      </c>
      <c r="T359" s="14">
        <v>42294</v>
      </c>
      <c r="U359" s="14">
        <v>46746</v>
      </c>
      <c r="V359" s="14">
        <v>42294</v>
      </c>
      <c r="W359" s="14">
        <v>37842</v>
      </c>
      <c r="X359" s="14">
        <v>13356</v>
      </c>
      <c r="Y359" s="14">
        <v>37842</v>
      </c>
      <c r="Z359" s="14">
        <v>37842</v>
      </c>
      <c r="AA359" s="14">
        <v>40068</v>
      </c>
      <c r="AB359" s="13">
        <f t="shared" si="11"/>
        <v>471912</v>
      </c>
    </row>
    <row r="360" spans="1:28" x14ac:dyDescent="0.3">
      <c r="A360" s="11"/>
      <c r="B360" s="12" t="s">
        <v>178</v>
      </c>
      <c r="C360" s="14">
        <v>46</v>
      </c>
      <c r="D360" s="14">
        <v>53</v>
      </c>
      <c r="E360" s="14">
        <v>55</v>
      </c>
      <c r="F360" s="14">
        <v>49</v>
      </c>
      <c r="G360" s="14">
        <v>49</v>
      </c>
      <c r="H360" s="14">
        <v>53</v>
      </c>
      <c r="I360" s="14">
        <v>51</v>
      </c>
      <c r="J360" s="14">
        <v>68</v>
      </c>
      <c r="K360" s="14">
        <v>74</v>
      </c>
      <c r="L360" s="14">
        <v>76</v>
      </c>
      <c r="M360" s="14">
        <v>74</v>
      </c>
      <c r="N360" s="14">
        <v>74</v>
      </c>
      <c r="O360" s="13">
        <f t="shared" si="10"/>
        <v>722</v>
      </c>
      <c r="P360" s="14">
        <v>102396</v>
      </c>
      <c r="Q360" s="14">
        <v>117978</v>
      </c>
      <c r="R360" s="14">
        <v>122430</v>
      </c>
      <c r="S360" s="14">
        <v>109074</v>
      </c>
      <c r="T360" s="14">
        <v>109074</v>
      </c>
      <c r="U360" s="14">
        <v>117978</v>
      </c>
      <c r="V360" s="14">
        <v>113526</v>
      </c>
      <c r="W360" s="14">
        <v>151368</v>
      </c>
      <c r="X360" s="14">
        <v>164724</v>
      </c>
      <c r="Y360" s="14">
        <v>169176</v>
      </c>
      <c r="Z360" s="14">
        <v>164724</v>
      </c>
      <c r="AA360" s="14">
        <v>164724</v>
      </c>
      <c r="AB360" s="13">
        <f t="shared" si="11"/>
        <v>1607172</v>
      </c>
    </row>
    <row r="361" spans="1:28" x14ac:dyDescent="0.3">
      <c r="A361" s="11"/>
      <c r="B361" s="12" t="s">
        <v>179</v>
      </c>
      <c r="C361" s="14">
        <v>9</v>
      </c>
      <c r="D361" s="14">
        <v>9</v>
      </c>
      <c r="E361" s="14">
        <v>9</v>
      </c>
      <c r="F361" s="14">
        <v>7</v>
      </c>
      <c r="G361" s="14">
        <v>8</v>
      </c>
      <c r="H361" s="14">
        <v>10</v>
      </c>
      <c r="I361" s="14">
        <v>9</v>
      </c>
      <c r="J361" s="14">
        <v>10</v>
      </c>
      <c r="K361" s="14">
        <v>10</v>
      </c>
      <c r="L361" s="14">
        <v>10</v>
      </c>
      <c r="M361" s="14">
        <v>10</v>
      </c>
      <c r="N361" s="14">
        <v>9</v>
      </c>
      <c r="O361" s="13">
        <f t="shared" si="10"/>
        <v>110</v>
      </c>
      <c r="P361" s="14">
        <v>20034</v>
      </c>
      <c r="Q361" s="14">
        <v>20034</v>
      </c>
      <c r="R361" s="14">
        <v>20034</v>
      </c>
      <c r="S361" s="14">
        <v>15582</v>
      </c>
      <c r="T361" s="14">
        <v>17808</v>
      </c>
      <c r="U361" s="14">
        <v>22260</v>
      </c>
      <c r="V361" s="14">
        <v>20034</v>
      </c>
      <c r="W361" s="14">
        <v>22260</v>
      </c>
      <c r="X361" s="14">
        <v>22260</v>
      </c>
      <c r="Y361" s="14">
        <v>22260</v>
      </c>
      <c r="Z361" s="14">
        <v>22260</v>
      </c>
      <c r="AA361" s="14">
        <v>20034</v>
      </c>
      <c r="AB361" s="13">
        <f t="shared" si="11"/>
        <v>244860</v>
      </c>
    </row>
    <row r="362" spans="1:28" x14ac:dyDescent="0.3">
      <c r="A362" s="11"/>
      <c r="B362" s="12" t="s">
        <v>180</v>
      </c>
      <c r="C362" s="14">
        <v>42</v>
      </c>
      <c r="D362" s="14">
        <v>54</v>
      </c>
      <c r="E362" s="14">
        <v>44</v>
      </c>
      <c r="F362" s="14">
        <v>42</v>
      </c>
      <c r="G362" s="14">
        <v>40</v>
      </c>
      <c r="H362" s="14">
        <v>46</v>
      </c>
      <c r="I362" s="14">
        <v>34</v>
      </c>
      <c r="J362" s="14">
        <v>57</v>
      </c>
      <c r="K362" s="14">
        <v>67</v>
      </c>
      <c r="L362" s="14">
        <v>69</v>
      </c>
      <c r="M362" s="14">
        <v>68</v>
      </c>
      <c r="N362" s="14">
        <v>67</v>
      </c>
      <c r="O362" s="13">
        <f t="shared" si="10"/>
        <v>630</v>
      </c>
      <c r="P362" s="14">
        <v>93492</v>
      </c>
      <c r="Q362" s="14">
        <v>120204</v>
      </c>
      <c r="R362" s="14">
        <v>97944</v>
      </c>
      <c r="S362" s="14">
        <v>93492</v>
      </c>
      <c r="T362" s="14">
        <v>89040</v>
      </c>
      <c r="U362" s="14">
        <v>102396</v>
      </c>
      <c r="V362" s="14">
        <v>75684</v>
      </c>
      <c r="W362" s="14">
        <v>126882</v>
      </c>
      <c r="X362" s="14">
        <v>149142</v>
      </c>
      <c r="Y362" s="14">
        <v>153594</v>
      </c>
      <c r="Z362" s="14">
        <v>151368</v>
      </c>
      <c r="AA362" s="14">
        <v>149142</v>
      </c>
      <c r="AB362" s="13">
        <f t="shared" si="11"/>
        <v>1402380</v>
      </c>
    </row>
    <row r="363" spans="1:28" x14ac:dyDescent="0.3">
      <c r="A363" s="11"/>
      <c r="B363" s="12" t="s">
        <v>181</v>
      </c>
      <c r="C363" s="14">
        <v>17</v>
      </c>
      <c r="D363" s="14">
        <v>20</v>
      </c>
      <c r="E363" s="14">
        <v>20</v>
      </c>
      <c r="F363" s="14">
        <v>17</v>
      </c>
      <c r="G363" s="14">
        <v>19</v>
      </c>
      <c r="H363" s="14">
        <v>21</v>
      </c>
      <c r="I363" s="14">
        <v>20</v>
      </c>
      <c r="J363" s="14">
        <v>17</v>
      </c>
      <c r="K363" s="14">
        <v>16</v>
      </c>
      <c r="L363" s="14">
        <v>17</v>
      </c>
      <c r="M363" s="14">
        <v>17</v>
      </c>
      <c r="N363" s="14">
        <v>16</v>
      </c>
      <c r="O363" s="13">
        <f t="shared" si="10"/>
        <v>217</v>
      </c>
      <c r="P363" s="14">
        <v>37842</v>
      </c>
      <c r="Q363" s="14">
        <v>44520</v>
      </c>
      <c r="R363" s="14">
        <v>44520</v>
      </c>
      <c r="S363" s="14">
        <v>37842</v>
      </c>
      <c r="T363" s="14">
        <v>42294</v>
      </c>
      <c r="U363" s="14">
        <v>46746</v>
      </c>
      <c r="V363" s="14">
        <v>44520</v>
      </c>
      <c r="W363" s="14">
        <v>37842</v>
      </c>
      <c r="X363" s="14">
        <v>35616</v>
      </c>
      <c r="Y363" s="14">
        <v>37842</v>
      </c>
      <c r="Z363" s="14">
        <v>37842</v>
      </c>
      <c r="AA363" s="14">
        <v>35616</v>
      </c>
      <c r="AB363" s="13">
        <f t="shared" si="11"/>
        <v>483042</v>
      </c>
    </row>
    <row r="364" spans="1:28" x14ac:dyDescent="0.3">
      <c r="A364" s="11"/>
      <c r="B364" s="12" t="s">
        <v>182</v>
      </c>
      <c r="C364" s="14">
        <v>43</v>
      </c>
      <c r="D364" s="14">
        <v>48</v>
      </c>
      <c r="E364" s="14">
        <v>47</v>
      </c>
      <c r="F364" s="14">
        <v>46</v>
      </c>
      <c r="G364" s="14">
        <v>44</v>
      </c>
      <c r="H364" s="14">
        <v>44</v>
      </c>
      <c r="I364" s="14">
        <v>42</v>
      </c>
      <c r="J364" s="14">
        <v>59</v>
      </c>
      <c r="K364" s="14">
        <v>66</v>
      </c>
      <c r="L364" s="14">
        <v>66</v>
      </c>
      <c r="M364" s="14">
        <v>66</v>
      </c>
      <c r="N364" s="14">
        <v>38</v>
      </c>
      <c r="O364" s="13">
        <f t="shared" si="10"/>
        <v>609</v>
      </c>
      <c r="P364" s="14">
        <v>95718</v>
      </c>
      <c r="Q364" s="14">
        <v>106848</v>
      </c>
      <c r="R364" s="14">
        <v>104622</v>
      </c>
      <c r="S364" s="14">
        <v>102396</v>
      </c>
      <c r="T364" s="14">
        <v>97944</v>
      </c>
      <c r="U364" s="14">
        <v>97944</v>
      </c>
      <c r="V364" s="14">
        <v>93492</v>
      </c>
      <c r="W364" s="14">
        <v>131334</v>
      </c>
      <c r="X364" s="14">
        <v>146916</v>
      </c>
      <c r="Y364" s="14">
        <v>146916</v>
      </c>
      <c r="Z364" s="14">
        <v>146916</v>
      </c>
      <c r="AA364" s="14">
        <v>84588</v>
      </c>
      <c r="AB364" s="13">
        <f t="shared" si="11"/>
        <v>1355634</v>
      </c>
    </row>
    <row r="365" spans="1:28" x14ac:dyDescent="0.3">
      <c r="A365" s="11"/>
      <c r="B365" s="12" t="s">
        <v>183</v>
      </c>
      <c r="C365" s="14">
        <v>42</v>
      </c>
      <c r="D365" s="14">
        <v>58</v>
      </c>
      <c r="E365" s="14">
        <v>45</v>
      </c>
      <c r="F365" s="14">
        <v>44</v>
      </c>
      <c r="G365" s="14">
        <v>42</v>
      </c>
      <c r="H365" s="14">
        <v>47</v>
      </c>
      <c r="I365" s="14">
        <v>45</v>
      </c>
      <c r="J365" s="14">
        <v>61</v>
      </c>
      <c r="K365" s="14">
        <v>65</v>
      </c>
      <c r="L365" s="14">
        <v>67</v>
      </c>
      <c r="M365" s="14">
        <v>67</v>
      </c>
      <c r="N365" s="14">
        <v>64</v>
      </c>
      <c r="O365" s="13">
        <f t="shared" si="10"/>
        <v>647</v>
      </c>
      <c r="P365" s="14">
        <v>93492</v>
      </c>
      <c r="Q365" s="14">
        <v>129108</v>
      </c>
      <c r="R365" s="14">
        <v>100170</v>
      </c>
      <c r="S365" s="14">
        <v>97944</v>
      </c>
      <c r="T365" s="14">
        <v>93492</v>
      </c>
      <c r="U365" s="14">
        <v>104622</v>
      </c>
      <c r="V365" s="14">
        <v>100170</v>
      </c>
      <c r="W365" s="14">
        <v>135786</v>
      </c>
      <c r="X365" s="14">
        <v>144690</v>
      </c>
      <c r="Y365" s="14">
        <v>149142</v>
      </c>
      <c r="Z365" s="14">
        <v>149142</v>
      </c>
      <c r="AA365" s="14">
        <v>142464</v>
      </c>
      <c r="AB365" s="13">
        <f t="shared" si="11"/>
        <v>1440222</v>
      </c>
    </row>
    <row r="366" spans="1:28" x14ac:dyDescent="0.3">
      <c r="A366" s="11"/>
      <c r="B366" s="12" t="s">
        <v>184</v>
      </c>
      <c r="C366" s="14">
        <v>7</v>
      </c>
      <c r="D366" s="14">
        <v>11</v>
      </c>
      <c r="E366" s="14">
        <v>9</v>
      </c>
      <c r="F366" s="14">
        <v>7</v>
      </c>
      <c r="G366" s="14">
        <v>8</v>
      </c>
      <c r="H366" s="14">
        <v>9</v>
      </c>
      <c r="I366" s="14">
        <v>10</v>
      </c>
      <c r="J366" s="14">
        <v>9</v>
      </c>
      <c r="K366" s="14">
        <v>10</v>
      </c>
      <c r="L366" s="14">
        <v>10</v>
      </c>
      <c r="M366" s="14">
        <v>10</v>
      </c>
      <c r="N366" s="14">
        <v>10</v>
      </c>
      <c r="O366" s="13">
        <f t="shared" si="10"/>
        <v>110</v>
      </c>
      <c r="P366" s="14">
        <v>15582</v>
      </c>
      <c r="Q366" s="14">
        <v>24486</v>
      </c>
      <c r="R366" s="14">
        <v>20034</v>
      </c>
      <c r="S366" s="14">
        <v>15582</v>
      </c>
      <c r="T366" s="14">
        <v>17808</v>
      </c>
      <c r="U366" s="14">
        <v>20034</v>
      </c>
      <c r="V366" s="14">
        <v>22260</v>
      </c>
      <c r="W366" s="14">
        <v>20034</v>
      </c>
      <c r="X366" s="14">
        <v>22260</v>
      </c>
      <c r="Y366" s="14">
        <v>22260</v>
      </c>
      <c r="Z366" s="14">
        <v>22260</v>
      </c>
      <c r="AA366" s="14">
        <v>22260</v>
      </c>
      <c r="AB366" s="13">
        <f t="shared" si="11"/>
        <v>244860</v>
      </c>
    </row>
    <row r="367" spans="1:28" x14ac:dyDescent="0.3">
      <c r="A367" s="11"/>
      <c r="B367" s="12" t="s">
        <v>185</v>
      </c>
      <c r="C367" s="14">
        <v>19</v>
      </c>
      <c r="D367" s="14">
        <v>26</v>
      </c>
      <c r="E367" s="14">
        <v>20</v>
      </c>
      <c r="F367" s="14">
        <v>16</v>
      </c>
      <c r="G367" s="14">
        <v>19</v>
      </c>
      <c r="H367" s="14">
        <v>21</v>
      </c>
      <c r="I367" s="14">
        <v>19</v>
      </c>
      <c r="J367" s="14">
        <v>16</v>
      </c>
      <c r="K367" s="14">
        <v>16</v>
      </c>
      <c r="L367" s="14">
        <v>16</v>
      </c>
      <c r="M367" s="14">
        <v>16</v>
      </c>
      <c r="N367" s="14">
        <v>18</v>
      </c>
      <c r="O367" s="13">
        <f t="shared" si="10"/>
        <v>222</v>
      </c>
      <c r="P367" s="14">
        <v>42294</v>
      </c>
      <c r="Q367" s="14">
        <v>57876</v>
      </c>
      <c r="R367" s="14">
        <v>44520</v>
      </c>
      <c r="S367" s="14">
        <v>35616</v>
      </c>
      <c r="T367" s="14">
        <v>42294</v>
      </c>
      <c r="U367" s="14">
        <v>46746</v>
      </c>
      <c r="V367" s="14">
        <v>42294</v>
      </c>
      <c r="W367" s="14">
        <v>35616</v>
      </c>
      <c r="X367" s="14">
        <v>35616</v>
      </c>
      <c r="Y367" s="14">
        <v>35616</v>
      </c>
      <c r="Z367" s="14">
        <v>35616</v>
      </c>
      <c r="AA367" s="14">
        <v>40068</v>
      </c>
      <c r="AB367" s="13">
        <f t="shared" si="11"/>
        <v>494172</v>
      </c>
    </row>
    <row r="368" spans="1:28" x14ac:dyDescent="0.3">
      <c r="A368" s="11"/>
      <c r="B368" s="12" t="s">
        <v>186</v>
      </c>
      <c r="C368" s="14"/>
      <c r="D368" s="14">
        <v>24</v>
      </c>
      <c r="E368" s="14">
        <v>16</v>
      </c>
      <c r="F368" s="14">
        <v>16</v>
      </c>
      <c r="G368" s="14">
        <v>17</v>
      </c>
      <c r="H368" s="14">
        <v>18</v>
      </c>
      <c r="I368" s="14">
        <v>17</v>
      </c>
      <c r="J368" s="14">
        <v>20</v>
      </c>
      <c r="K368" s="14">
        <v>19</v>
      </c>
      <c r="L368" s="14">
        <v>19</v>
      </c>
      <c r="M368" s="14">
        <v>19</v>
      </c>
      <c r="N368" s="14">
        <v>19</v>
      </c>
      <c r="O368" s="13">
        <f t="shared" si="10"/>
        <v>204</v>
      </c>
      <c r="P368" s="14"/>
      <c r="Q368" s="14">
        <v>53424</v>
      </c>
      <c r="R368" s="14">
        <v>35616</v>
      </c>
      <c r="S368" s="14">
        <v>35616</v>
      </c>
      <c r="T368" s="14">
        <v>37842</v>
      </c>
      <c r="U368" s="14">
        <v>40068</v>
      </c>
      <c r="V368" s="14">
        <v>37842</v>
      </c>
      <c r="W368" s="14">
        <v>44520</v>
      </c>
      <c r="X368" s="14">
        <v>42294</v>
      </c>
      <c r="Y368" s="14">
        <v>42294</v>
      </c>
      <c r="Z368" s="14">
        <v>42294</v>
      </c>
      <c r="AA368" s="14">
        <v>42294</v>
      </c>
      <c r="AB368" s="13">
        <f t="shared" si="11"/>
        <v>454104</v>
      </c>
    </row>
    <row r="369" spans="1:28" x14ac:dyDescent="0.3">
      <c r="A369" s="11"/>
      <c r="B369" s="12" t="s">
        <v>187</v>
      </c>
      <c r="C369" s="14">
        <v>44</v>
      </c>
      <c r="D369" s="14">
        <v>55</v>
      </c>
      <c r="E369" s="14">
        <v>47</v>
      </c>
      <c r="F369" s="14">
        <v>45</v>
      </c>
      <c r="G369" s="14">
        <v>44</v>
      </c>
      <c r="H369" s="14">
        <v>44</v>
      </c>
      <c r="I369" s="14">
        <v>41</v>
      </c>
      <c r="J369" s="14">
        <v>58</v>
      </c>
      <c r="K369" s="14">
        <v>65</v>
      </c>
      <c r="L369" s="14">
        <v>66</v>
      </c>
      <c r="M369" s="14">
        <v>68</v>
      </c>
      <c r="N369" s="14">
        <v>64</v>
      </c>
      <c r="O369" s="13">
        <f t="shared" si="10"/>
        <v>641</v>
      </c>
      <c r="P369" s="14">
        <v>97944</v>
      </c>
      <c r="Q369" s="14">
        <v>122430</v>
      </c>
      <c r="R369" s="14">
        <v>104622</v>
      </c>
      <c r="S369" s="14">
        <v>100170</v>
      </c>
      <c r="T369" s="14">
        <v>97944</v>
      </c>
      <c r="U369" s="14">
        <v>97944</v>
      </c>
      <c r="V369" s="14">
        <v>91266</v>
      </c>
      <c r="W369" s="14">
        <v>129108</v>
      </c>
      <c r="X369" s="14">
        <v>144690</v>
      </c>
      <c r="Y369" s="14">
        <v>146916</v>
      </c>
      <c r="Z369" s="14">
        <v>151368</v>
      </c>
      <c r="AA369" s="14">
        <v>142464</v>
      </c>
      <c r="AB369" s="13">
        <f t="shared" si="11"/>
        <v>1426866</v>
      </c>
    </row>
    <row r="370" spans="1:28" x14ac:dyDescent="0.3">
      <c r="A370" s="11"/>
      <c r="B370" s="12" t="s">
        <v>188</v>
      </c>
      <c r="C370" s="14">
        <v>43</v>
      </c>
      <c r="D370" s="14">
        <v>57</v>
      </c>
      <c r="E370" s="14">
        <v>46</v>
      </c>
      <c r="F370" s="14">
        <v>45</v>
      </c>
      <c r="G370" s="14">
        <v>42</v>
      </c>
      <c r="H370" s="14">
        <v>43</v>
      </c>
      <c r="I370" s="14">
        <v>40</v>
      </c>
      <c r="J370" s="14">
        <v>60</v>
      </c>
      <c r="K370" s="14">
        <v>65</v>
      </c>
      <c r="L370" s="14">
        <v>67</v>
      </c>
      <c r="M370" s="14">
        <v>67</v>
      </c>
      <c r="N370" s="14">
        <v>66</v>
      </c>
      <c r="O370" s="13">
        <f t="shared" si="10"/>
        <v>641</v>
      </c>
      <c r="P370" s="14">
        <v>95718</v>
      </c>
      <c r="Q370" s="14">
        <v>126882</v>
      </c>
      <c r="R370" s="14">
        <v>102396</v>
      </c>
      <c r="S370" s="14">
        <v>100170</v>
      </c>
      <c r="T370" s="14">
        <v>93492</v>
      </c>
      <c r="U370" s="14">
        <v>95718</v>
      </c>
      <c r="V370" s="14">
        <v>89040</v>
      </c>
      <c r="W370" s="14">
        <v>133560</v>
      </c>
      <c r="X370" s="14">
        <v>144690</v>
      </c>
      <c r="Y370" s="14">
        <v>149142</v>
      </c>
      <c r="Z370" s="14">
        <v>149142</v>
      </c>
      <c r="AA370" s="14">
        <v>146916</v>
      </c>
      <c r="AB370" s="13">
        <f t="shared" si="11"/>
        <v>1426866</v>
      </c>
    </row>
    <row r="371" spans="1:28" x14ac:dyDescent="0.3">
      <c r="A371" s="11"/>
      <c r="B371" s="12" t="s">
        <v>189</v>
      </c>
      <c r="C371" s="14">
        <v>6</v>
      </c>
      <c r="D371" s="14">
        <v>9</v>
      </c>
      <c r="E371" s="14">
        <v>9</v>
      </c>
      <c r="F371" s="14">
        <v>6</v>
      </c>
      <c r="G371" s="14">
        <v>9</v>
      </c>
      <c r="H371" s="14">
        <v>9</v>
      </c>
      <c r="I371" s="14">
        <v>9</v>
      </c>
      <c r="J371" s="14">
        <v>10</v>
      </c>
      <c r="K371" s="14">
        <v>9</v>
      </c>
      <c r="L371" s="14">
        <v>10</v>
      </c>
      <c r="M371" s="14">
        <v>10</v>
      </c>
      <c r="N371" s="14">
        <v>9</v>
      </c>
      <c r="O371" s="13">
        <f t="shared" si="10"/>
        <v>105</v>
      </c>
      <c r="P371" s="14">
        <v>13356</v>
      </c>
      <c r="Q371" s="14">
        <v>20034</v>
      </c>
      <c r="R371" s="14">
        <v>20034</v>
      </c>
      <c r="S371" s="14">
        <v>13356</v>
      </c>
      <c r="T371" s="14">
        <v>20034</v>
      </c>
      <c r="U371" s="14">
        <v>20034</v>
      </c>
      <c r="V371" s="14">
        <v>20034</v>
      </c>
      <c r="W371" s="14">
        <v>22260</v>
      </c>
      <c r="X371" s="14">
        <v>20034</v>
      </c>
      <c r="Y371" s="14">
        <v>22260</v>
      </c>
      <c r="Z371" s="14">
        <v>22260</v>
      </c>
      <c r="AA371" s="14">
        <v>20034</v>
      </c>
      <c r="AB371" s="13">
        <f t="shared" si="11"/>
        <v>233730</v>
      </c>
    </row>
    <row r="372" spans="1:28" x14ac:dyDescent="0.3">
      <c r="A372" s="11"/>
      <c r="B372" s="12" t="s">
        <v>190</v>
      </c>
      <c r="C372" s="14">
        <v>7</v>
      </c>
      <c r="D372" s="14">
        <v>11</v>
      </c>
      <c r="E372" s="14">
        <v>10</v>
      </c>
      <c r="F372" s="14">
        <v>7</v>
      </c>
      <c r="G372" s="14">
        <v>9</v>
      </c>
      <c r="H372" s="14">
        <v>9</v>
      </c>
      <c r="I372" s="14">
        <v>10</v>
      </c>
      <c r="J372" s="14">
        <v>11</v>
      </c>
      <c r="K372" s="14">
        <v>10</v>
      </c>
      <c r="L372" s="14">
        <v>11</v>
      </c>
      <c r="M372" s="14">
        <v>11</v>
      </c>
      <c r="N372" s="14">
        <v>10</v>
      </c>
      <c r="O372" s="13">
        <f t="shared" si="10"/>
        <v>116</v>
      </c>
      <c r="P372" s="14">
        <v>15582</v>
      </c>
      <c r="Q372" s="14">
        <v>24486</v>
      </c>
      <c r="R372" s="14">
        <v>22260</v>
      </c>
      <c r="S372" s="14">
        <v>15582</v>
      </c>
      <c r="T372" s="14">
        <v>20034</v>
      </c>
      <c r="U372" s="14">
        <v>20034</v>
      </c>
      <c r="V372" s="14">
        <v>22260</v>
      </c>
      <c r="W372" s="14">
        <v>24486</v>
      </c>
      <c r="X372" s="14">
        <v>22260</v>
      </c>
      <c r="Y372" s="14">
        <v>24486</v>
      </c>
      <c r="Z372" s="14">
        <v>24486</v>
      </c>
      <c r="AA372" s="14">
        <v>22260</v>
      </c>
      <c r="AB372" s="13">
        <f t="shared" si="11"/>
        <v>258216</v>
      </c>
    </row>
    <row r="373" spans="1:28" x14ac:dyDescent="0.3">
      <c r="A373" s="11"/>
      <c r="B373" s="12" t="s">
        <v>191</v>
      </c>
      <c r="C373" s="14">
        <v>38</v>
      </c>
      <c r="D373" s="14">
        <v>58</v>
      </c>
      <c r="E373" s="14">
        <v>46</v>
      </c>
      <c r="F373" s="14">
        <v>44</v>
      </c>
      <c r="G373" s="14">
        <v>41</v>
      </c>
      <c r="H373" s="14">
        <v>49</v>
      </c>
      <c r="I373" s="14">
        <v>46</v>
      </c>
      <c r="J373" s="14">
        <v>62</v>
      </c>
      <c r="K373" s="14">
        <v>66</v>
      </c>
      <c r="L373" s="14">
        <v>68</v>
      </c>
      <c r="M373" s="14">
        <v>69</v>
      </c>
      <c r="N373" s="14">
        <v>67</v>
      </c>
      <c r="O373" s="13">
        <f t="shared" si="10"/>
        <v>654</v>
      </c>
      <c r="P373" s="14">
        <v>84588</v>
      </c>
      <c r="Q373" s="14">
        <v>129108</v>
      </c>
      <c r="R373" s="14">
        <v>102396</v>
      </c>
      <c r="S373" s="14">
        <v>97944</v>
      </c>
      <c r="T373" s="14">
        <v>91266</v>
      </c>
      <c r="U373" s="14">
        <v>109074</v>
      </c>
      <c r="V373" s="14">
        <v>102396</v>
      </c>
      <c r="W373" s="14">
        <v>138012</v>
      </c>
      <c r="X373" s="14">
        <v>146916</v>
      </c>
      <c r="Y373" s="14">
        <v>151368</v>
      </c>
      <c r="Z373" s="14">
        <v>153594</v>
      </c>
      <c r="AA373" s="14">
        <v>149142</v>
      </c>
      <c r="AB373" s="13">
        <f t="shared" si="11"/>
        <v>1455804</v>
      </c>
    </row>
    <row r="374" spans="1:28" x14ac:dyDescent="0.3">
      <c r="A374" s="11"/>
      <c r="B374" s="12" t="s">
        <v>192</v>
      </c>
      <c r="C374" s="14">
        <v>7</v>
      </c>
      <c r="D374" s="14">
        <v>10</v>
      </c>
      <c r="E374" s="14">
        <v>10</v>
      </c>
      <c r="F374" s="14">
        <v>7</v>
      </c>
      <c r="G374" s="14">
        <v>9</v>
      </c>
      <c r="H374" s="14">
        <v>10</v>
      </c>
      <c r="I374" s="14">
        <v>9</v>
      </c>
      <c r="J374" s="14">
        <v>11</v>
      </c>
      <c r="K374" s="14">
        <v>10</v>
      </c>
      <c r="L374" s="14">
        <v>11</v>
      </c>
      <c r="M374" s="14">
        <v>10</v>
      </c>
      <c r="N374" s="14">
        <v>10</v>
      </c>
      <c r="O374" s="13">
        <f t="shared" si="10"/>
        <v>114</v>
      </c>
      <c r="P374" s="14">
        <v>15582</v>
      </c>
      <c r="Q374" s="14">
        <v>22260</v>
      </c>
      <c r="R374" s="14">
        <v>22260</v>
      </c>
      <c r="S374" s="14">
        <v>15582</v>
      </c>
      <c r="T374" s="14">
        <v>20034</v>
      </c>
      <c r="U374" s="14">
        <v>22260</v>
      </c>
      <c r="V374" s="14">
        <v>20034</v>
      </c>
      <c r="W374" s="14">
        <v>24486</v>
      </c>
      <c r="X374" s="14">
        <v>22260</v>
      </c>
      <c r="Y374" s="14">
        <v>24486</v>
      </c>
      <c r="Z374" s="14">
        <v>22260</v>
      </c>
      <c r="AA374" s="14">
        <v>22260</v>
      </c>
      <c r="AB374" s="13">
        <f t="shared" si="11"/>
        <v>253764</v>
      </c>
    </row>
    <row r="375" spans="1:28" x14ac:dyDescent="0.3">
      <c r="A375" s="11"/>
      <c r="B375" s="12" t="s">
        <v>193</v>
      </c>
      <c r="C375" s="14">
        <v>44</v>
      </c>
      <c r="D375" s="14">
        <v>35</v>
      </c>
      <c r="E375" s="14"/>
      <c r="F375" s="14">
        <v>41</v>
      </c>
      <c r="G375" s="14">
        <v>42</v>
      </c>
      <c r="H375" s="14">
        <v>46</v>
      </c>
      <c r="I375" s="14">
        <v>44</v>
      </c>
      <c r="J375" s="14">
        <v>59</v>
      </c>
      <c r="K375" s="14">
        <v>64</v>
      </c>
      <c r="L375" s="14">
        <v>66</v>
      </c>
      <c r="M375" s="14">
        <v>65</v>
      </c>
      <c r="N375" s="14">
        <v>65</v>
      </c>
      <c r="O375" s="13">
        <f t="shared" si="10"/>
        <v>571</v>
      </c>
      <c r="P375" s="14">
        <v>97944</v>
      </c>
      <c r="Q375" s="14">
        <v>77910</v>
      </c>
      <c r="R375" s="14"/>
      <c r="S375" s="14">
        <v>91266</v>
      </c>
      <c r="T375" s="14">
        <v>93492</v>
      </c>
      <c r="U375" s="14">
        <v>102396</v>
      </c>
      <c r="V375" s="14">
        <v>97944</v>
      </c>
      <c r="W375" s="14">
        <v>131334</v>
      </c>
      <c r="X375" s="14">
        <v>142464</v>
      </c>
      <c r="Y375" s="14">
        <v>146916</v>
      </c>
      <c r="Z375" s="14">
        <v>144690</v>
      </c>
      <c r="AA375" s="14">
        <v>144690</v>
      </c>
      <c r="AB375" s="13">
        <f t="shared" si="11"/>
        <v>1271046</v>
      </c>
    </row>
    <row r="376" spans="1:28" x14ac:dyDescent="0.3">
      <c r="A376" s="11"/>
      <c r="B376" s="12" t="s">
        <v>194</v>
      </c>
      <c r="C376" s="14">
        <v>37</v>
      </c>
      <c r="D376" s="14">
        <v>54</v>
      </c>
      <c r="E376" s="14">
        <v>44</v>
      </c>
      <c r="F376" s="14">
        <v>42</v>
      </c>
      <c r="G376" s="14">
        <v>40</v>
      </c>
      <c r="H376" s="14">
        <v>45</v>
      </c>
      <c r="I376" s="14">
        <v>43</v>
      </c>
      <c r="J376" s="14">
        <v>58</v>
      </c>
      <c r="K376" s="14">
        <v>65</v>
      </c>
      <c r="L376" s="14">
        <v>67</v>
      </c>
      <c r="M376" s="14">
        <v>67</v>
      </c>
      <c r="N376" s="14">
        <v>63</v>
      </c>
      <c r="O376" s="13">
        <f t="shared" si="10"/>
        <v>625</v>
      </c>
      <c r="P376" s="14">
        <v>82362</v>
      </c>
      <c r="Q376" s="14">
        <v>120204</v>
      </c>
      <c r="R376" s="14">
        <v>97944</v>
      </c>
      <c r="S376" s="14">
        <v>93492</v>
      </c>
      <c r="T376" s="14">
        <v>89040</v>
      </c>
      <c r="U376" s="14">
        <v>100170</v>
      </c>
      <c r="V376" s="14">
        <v>95718</v>
      </c>
      <c r="W376" s="14">
        <v>129108</v>
      </c>
      <c r="X376" s="14">
        <v>144690</v>
      </c>
      <c r="Y376" s="14">
        <v>149142</v>
      </c>
      <c r="Z376" s="14">
        <v>149142</v>
      </c>
      <c r="AA376" s="14">
        <v>140238</v>
      </c>
      <c r="AB376" s="13">
        <f t="shared" si="11"/>
        <v>1391250</v>
      </c>
    </row>
    <row r="377" spans="1:28" x14ac:dyDescent="0.3">
      <c r="A377" s="11"/>
      <c r="B377" s="12" t="s">
        <v>195</v>
      </c>
      <c r="C377" s="14">
        <v>41</v>
      </c>
      <c r="D377" s="14">
        <v>63</v>
      </c>
      <c r="E377" s="14">
        <v>57</v>
      </c>
      <c r="F377" s="14">
        <v>52</v>
      </c>
      <c r="G377" s="14">
        <v>54</v>
      </c>
      <c r="H377" s="14">
        <v>53</v>
      </c>
      <c r="I377" s="14">
        <v>51</v>
      </c>
      <c r="J377" s="14">
        <v>69</v>
      </c>
      <c r="K377" s="14">
        <v>76</v>
      </c>
      <c r="L377" s="14">
        <v>77</v>
      </c>
      <c r="M377" s="14">
        <v>76</v>
      </c>
      <c r="N377" s="14">
        <v>68</v>
      </c>
      <c r="O377" s="13">
        <f t="shared" si="10"/>
        <v>737</v>
      </c>
      <c r="P377" s="14">
        <v>91266</v>
      </c>
      <c r="Q377" s="14">
        <v>140238</v>
      </c>
      <c r="R377" s="14">
        <v>126882</v>
      </c>
      <c r="S377" s="14">
        <v>115752</v>
      </c>
      <c r="T377" s="14">
        <v>120204</v>
      </c>
      <c r="U377" s="14">
        <v>117978</v>
      </c>
      <c r="V377" s="14">
        <v>113526</v>
      </c>
      <c r="W377" s="14">
        <v>153594</v>
      </c>
      <c r="X377" s="14">
        <v>169176</v>
      </c>
      <c r="Y377" s="14">
        <v>171402</v>
      </c>
      <c r="Z377" s="14">
        <v>169176</v>
      </c>
      <c r="AA377" s="14">
        <v>151368</v>
      </c>
      <c r="AB377" s="13">
        <f t="shared" si="11"/>
        <v>1640562</v>
      </c>
    </row>
    <row r="378" spans="1:28" x14ac:dyDescent="0.3">
      <c r="A378" s="11"/>
      <c r="B378" s="12" t="s">
        <v>196</v>
      </c>
      <c r="C378" s="14">
        <v>7</v>
      </c>
      <c r="D378" s="14">
        <v>23</v>
      </c>
      <c r="E378" s="14">
        <v>19</v>
      </c>
      <c r="F378" s="14">
        <v>18</v>
      </c>
      <c r="G378" s="14">
        <v>18</v>
      </c>
      <c r="H378" s="14">
        <v>21</v>
      </c>
      <c r="I378" s="14">
        <v>19</v>
      </c>
      <c r="J378" s="14">
        <v>16</v>
      </c>
      <c r="K378" s="14">
        <v>15</v>
      </c>
      <c r="L378" s="14">
        <v>16</v>
      </c>
      <c r="M378" s="14">
        <v>16</v>
      </c>
      <c r="N378" s="14">
        <v>17</v>
      </c>
      <c r="O378" s="13">
        <f t="shared" si="10"/>
        <v>205</v>
      </c>
      <c r="P378" s="14">
        <v>15582</v>
      </c>
      <c r="Q378" s="14">
        <v>51198</v>
      </c>
      <c r="R378" s="14">
        <v>42294</v>
      </c>
      <c r="S378" s="14">
        <v>40068</v>
      </c>
      <c r="T378" s="14">
        <v>40068</v>
      </c>
      <c r="U378" s="14">
        <v>46746</v>
      </c>
      <c r="V378" s="14">
        <v>42294</v>
      </c>
      <c r="W378" s="14">
        <v>35616</v>
      </c>
      <c r="X378" s="14">
        <v>33390</v>
      </c>
      <c r="Y378" s="14">
        <v>35616</v>
      </c>
      <c r="Z378" s="14">
        <v>35616</v>
      </c>
      <c r="AA378" s="14">
        <v>37842</v>
      </c>
      <c r="AB378" s="13">
        <f t="shared" si="11"/>
        <v>456330</v>
      </c>
    </row>
    <row r="379" spans="1:28" x14ac:dyDescent="0.3">
      <c r="A379" s="11"/>
      <c r="B379" s="12" t="s">
        <v>197</v>
      </c>
      <c r="C379" s="14">
        <v>43</v>
      </c>
      <c r="D379" s="14">
        <v>44</v>
      </c>
      <c r="E379" s="14">
        <v>43</v>
      </c>
      <c r="F379" s="14">
        <v>41</v>
      </c>
      <c r="G379" s="14">
        <v>40</v>
      </c>
      <c r="H379" s="14">
        <v>43</v>
      </c>
      <c r="I379" s="14">
        <v>41</v>
      </c>
      <c r="J379" s="14">
        <v>57</v>
      </c>
      <c r="K379" s="14">
        <v>63</v>
      </c>
      <c r="L379" s="14">
        <v>64</v>
      </c>
      <c r="M379" s="14">
        <v>65</v>
      </c>
      <c r="N379" s="14">
        <v>63</v>
      </c>
      <c r="O379" s="13">
        <f t="shared" si="10"/>
        <v>607</v>
      </c>
      <c r="P379" s="14">
        <v>95718</v>
      </c>
      <c r="Q379" s="14">
        <v>97944</v>
      </c>
      <c r="R379" s="14">
        <v>95718</v>
      </c>
      <c r="S379" s="14">
        <v>91266</v>
      </c>
      <c r="T379" s="14">
        <v>89040</v>
      </c>
      <c r="U379" s="14">
        <v>95718</v>
      </c>
      <c r="V379" s="14">
        <v>91266</v>
      </c>
      <c r="W379" s="14">
        <v>126882</v>
      </c>
      <c r="X379" s="14">
        <v>140238</v>
      </c>
      <c r="Y379" s="14">
        <v>142464</v>
      </c>
      <c r="Z379" s="14">
        <v>144690</v>
      </c>
      <c r="AA379" s="14">
        <v>140238</v>
      </c>
      <c r="AB379" s="13">
        <f t="shared" si="11"/>
        <v>1351182</v>
      </c>
    </row>
    <row r="380" spans="1:28" x14ac:dyDescent="0.3">
      <c r="A380" s="11"/>
      <c r="B380" s="12" t="s">
        <v>198</v>
      </c>
      <c r="C380" s="14">
        <v>38</v>
      </c>
      <c r="D380" s="14">
        <v>50</v>
      </c>
      <c r="E380" s="14">
        <v>43</v>
      </c>
      <c r="F380" s="14">
        <v>38</v>
      </c>
      <c r="G380" s="14">
        <v>27</v>
      </c>
      <c r="H380" s="14">
        <v>41</v>
      </c>
      <c r="I380" s="14">
        <v>37</v>
      </c>
      <c r="J380" s="14">
        <v>58</v>
      </c>
      <c r="K380" s="14">
        <v>65</v>
      </c>
      <c r="L380" s="14">
        <v>66</v>
      </c>
      <c r="M380" s="14">
        <v>67</v>
      </c>
      <c r="N380" s="14">
        <v>65</v>
      </c>
      <c r="O380" s="13">
        <f t="shared" si="10"/>
        <v>595</v>
      </c>
      <c r="P380" s="14">
        <v>84588</v>
      </c>
      <c r="Q380" s="14">
        <v>111300</v>
      </c>
      <c r="R380" s="14">
        <v>95718</v>
      </c>
      <c r="S380" s="14">
        <v>84588</v>
      </c>
      <c r="T380" s="14">
        <v>60102</v>
      </c>
      <c r="U380" s="14">
        <v>91266</v>
      </c>
      <c r="V380" s="14">
        <v>82362</v>
      </c>
      <c r="W380" s="14">
        <v>129108</v>
      </c>
      <c r="X380" s="14">
        <v>144690</v>
      </c>
      <c r="Y380" s="14">
        <v>146916</v>
      </c>
      <c r="Z380" s="14">
        <v>149142</v>
      </c>
      <c r="AA380" s="14">
        <v>144690</v>
      </c>
      <c r="AB380" s="13">
        <f t="shared" si="11"/>
        <v>1324470</v>
      </c>
    </row>
    <row r="381" spans="1:28" x14ac:dyDescent="0.3">
      <c r="A381" s="11"/>
      <c r="B381" s="12" t="s">
        <v>199</v>
      </c>
      <c r="C381" s="14">
        <v>42</v>
      </c>
      <c r="D381" s="14">
        <v>31</v>
      </c>
      <c r="E381" s="14">
        <v>32</v>
      </c>
      <c r="F381" s="14">
        <v>45</v>
      </c>
      <c r="G381" s="14">
        <v>43</v>
      </c>
      <c r="H381" s="14">
        <v>49</v>
      </c>
      <c r="I381" s="14">
        <v>44</v>
      </c>
      <c r="J381" s="14">
        <v>62</v>
      </c>
      <c r="K381" s="14">
        <v>70</v>
      </c>
      <c r="L381" s="14">
        <v>72</v>
      </c>
      <c r="M381" s="14">
        <v>72</v>
      </c>
      <c r="N381" s="14">
        <v>69</v>
      </c>
      <c r="O381" s="13">
        <f t="shared" si="10"/>
        <v>631</v>
      </c>
      <c r="P381" s="14">
        <v>93492</v>
      </c>
      <c r="Q381" s="14">
        <v>69006</v>
      </c>
      <c r="R381" s="14">
        <v>71232</v>
      </c>
      <c r="S381" s="14">
        <v>100170</v>
      </c>
      <c r="T381" s="14">
        <v>95718</v>
      </c>
      <c r="U381" s="14">
        <v>109074</v>
      </c>
      <c r="V381" s="14">
        <v>97944</v>
      </c>
      <c r="W381" s="14">
        <v>138012</v>
      </c>
      <c r="X381" s="14">
        <v>155820</v>
      </c>
      <c r="Y381" s="14">
        <v>160272</v>
      </c>
      <c r="Z381" s="14">
        <v>160272</v>
      </c>
      <c r="AA381" s="14">
        <v>153594</v>
      </c>
      <c r="AB381" s="13">
        <f t="shared" si="11"/>
        <v>1404606</v>
      </c>
    </row>
    <row r="382" spans="1:28" x14ac:dyDescent="0.3">
      <c r="A382" s="11"/>
      <c r="B382" s="12" t="s">
        <v>200</v>
      </c>
      <c r="C382" s="14">
        <v>49</v>
      </c>
      <c r="D382" s="14">
        <v>55</v>
      </c>
      <c r="E382" s="14">
        <v>57</v>
      </c>
      <c r="F382" s="14">
        <v>52</v>
      </c>
      <c r="G382" s="14">
        <v>50</v>
      </c>
      <c r="H382" s="14">
        <v>40</v>
      </c>
      <c r="I382" s="14">
        <v>53</v>
      </c>
      <c r="J382" s="14">
        <v>67</v>
      </c>
      <c r="K382" s="14">
        <v>73</v>
      </c>
      <c r="L382" s="14">
        <v>78</v>
      </c>
      <c r="M382" s="14">
        <v>76</v>
      </c>
      <c r="N382" s="14">
        <v>72</v>
      </c>
      <c r="O382" s="13">
        <f t="shared" si="10"/>
        <v>722</v>
      </c>
      <c r="P382" s="14">
        <v>109074</v>
      </c>
      <c r="Q382" s="14">
        <v>122430</v>
      </c>
      <c r="R382" s="14">
        <v>126882</v>
      </c>
      <c r="S382" s="14">
        <v>115752</v>
      </c>
      <c r="T382" s="14">
        <v>111300</v>
      </c>
      <c r="U382" s="14">
        <v>89040</v>
      </c>
      <c r="V382" s="14">
        <v>117978</v>
      </c>
      <c r="W382" s="14">
        <v>149142</v>
      </c>
      <c r="X382" s="14">
        <v>162498</v>
      </c>
      <c r="Y382" s="14">
        <v>173628</v>
      </c>
      <c r="Z382" s="14">
        <v>169176</v>
      </c>
      <c r="AA382" s="14">
        <v>160272</v>
      </c>
      <c r="AB382" s="13">
        <f t="shared" si="11"/>
        <v>1607172</v>
      </c>
    </row>
    <row r="383" spans="1:28" x14ac:dyDescent="0.3">
      <c r="A383" s="11"/>
      <c r="B383" s="12" t="s">
        <v>201</v>
      </c>
      <c r="C383" s="14">
        <v>42</v>
      </c>
      <c r="D383" s="14">
        <v>42</v>
      </c>
      <c r="E383" s="14">
        <v>42</v>
      </c>
      <c r="F383" s="14">
        <v>41</v>
      </c>
      <c r="G383" s="14">
        <v>39</v>
      </c>
      <c r="H383" s="14">
        <v>46</v>
      </c>
      <c r="I383" s="14">
        <v>45</v>
      </c>
      <c r="J383" s="14">
        <v>59</v>
      </c>
      <c r="K383" s="14">
        <v>65</v>
      </c>
      <c r="L383" s="14">
        <v>66</v>
      </c>
      <c r="M383" s="14">
        <v>67</v>
      </c>
      <c r="N383" s="14">
        <v>65</v>
      </c>
      <c r="O383" s="13">
        <f t="shared" si="10"/>
        <v>619</v>
      </c>
      <c r="P383" s="14">
        <v>93492</v>
      </c>
      <c r="Q383" s="14">
        <v>93492</v>
      </c>
      <c r="R383" s="14">
        <v>93492</v>
      </c>
      <c r="S383" s="14">
        <v>91266</v>
      </c>
      <c r="T383" s="14">
        <v>86814</v>
      </c>
      <c r="U383" s="14">
        <v>102396</v>
      </c>
      <c r="V383" s="14">
        <v>100170</v>
      </c>
      <c r="W383" s="14">
        <v>131334</v>
      </c>
      <c r="X383" s="14">
        <v>144690</v>
      </c>
      <c r="Y383" s="14">
        <v>146916</v>
      </c>
      <c r="Z383" s="14">
        <v>149142</v>
      </c>
      <c r="AA383" s="14">
        <v>144690</v>
      </c>
      <c r="AB383" s="13">
        <f t="shared" si="11"/>
        <v>1377894</v>
      </c>
    </row>
    <row r="384" spans="1:28" x14ac:dyDescent="0.3">
      <c r="A384" s="11"/>
      <c r="B384" s="12" t="s">
        <v>202</v>
      </c>
      <c r="C384" s="14"/>
      <c r="D384" s="14"/>
      <c r="E384" s="14">
        <v>21</v>
      </c>
      <c r="F384" s="14">
        <v>17</v>
      </c>
      <c r="G384" s="14">
        <v>19</v>
      </c>
      <c r="H384" s="14">
        <v>20</v>
      </c>
      <c r="I384" s="14">
        <v>17</v>
      </c>
      <c r="J384" s="14">
        <v>17</v>
      </c>
      <c r="K384" s="14">
        <v>16</v>
      </c>
      <c r="L384" s="14">
        <v>17</v>
      </c>
      <c r="M384" s="14">
        <v>16</v>
      </c>
      <c r="N384" s="14">
        <v>17</v>
      </c>
      <c r="O384" s="13">
        <f t="shared" si="10"/>
        <v>177</v>
      </c>
      <c r="P384" s="14"/>
      <c r="Q384" s="14"/>
      <c r="R384" s="14">
        <v>46746</v>
      </c>
      <c r="S384" s="14">
        <v>37842</v>
      </c>
      <c r="T384" s="14">
        <v>42294</v>
      </c>
      <c r="U384" s="14">
        <v>44520</v>
      </c>
      <c r="V384" s="14">
        <v>37842</v>
      </c>
      <c r="W384" s="14">
        <v>37842</v>
      </c>
      <c r="X384" s="14">
        <v>35616</v>
      </c>
      <c r="Y384" s="14">
        <v>37842</v>
      </c>
      <c r="Z384" s="14">
        <v>35616</v>
      </c>
      <c r="AA384" s="14">
        <v>37842</v>
      </c>
      <c r="AB384" s="13">
        <f t="shared" si="11"/>
        <v>394002</v>
      </c>
    </row>
    <row r="385" spans="1:28" x14ac:dyDescent="0.3">
      <c r="A385" s="11"/>
      <c r="B385" s="12" t="s">
        <v>203</v>
      </c>
      <c r="C385" s="14">
        <v>44</v>
      </c>
      <c r="D385" s="14">
        <v>59</v>
      </c>
      <c r="E385" s="14">
        <v>45</v>
      </c>
      <c r="F385" s="14">
        <v>44</v>
      </c>
      <c r="G385" s="14">
        <v>42</v>
      </c>
      <c r="H385" s="14">
        <v>47</v>
      </c>
      <c r="I385" s="14">
        <v>43</v>
      </c>
      <c r="J385" s="14">
        <v>56</v>
      </c>
      <c r="K385" s="14">
        <v>66</v>
      </c>
      <c r="L385" s="14">
        <v>67</v>
      </c>
      <c r="M385" s="14">
        <v>68</v>
      </c>
      <c r="N385" s="14">
        <v>67</v>
      </c>
      <c r="O385" s="13">
        <f t="shared" si="10"/>
        <v>648</v>
      </c>
      <c r="P385" s="14">
        <v>97944</v>
      </c>
      <c r="Q385" s="14">
        <v>131334</v>
      </c>
      <c r="R385" s="14">
        <v>100170</v>
      </c>
      <c r="S385" s="14">
        <v>97944</v>
      </c>
      <c r="T385" s="14">
        <v>93492</v>
      </c>
      <c r="U385" s="14">
        <v>104622</v>
      </c>
      <c r="V385" s="14">
        <v>95718</v>
      </c>
      <c r="W385" s="14">
        <v>124656</v>
      </c>
      <c r="X385" s="14">
        <v>146916</v>
      </c>
      <c r="Y385" s="14">
        <v>149142</v>
      </c>
      <c r="Z385" s="14">
        <v>151368</v>
      </c>
      <c r="AA385" s="14">
        <v>149142</v>
      </c>
      <c r="AB385" s="13">
        <f t="shared" si="11"/>
        <v>1442448</v>
      </c>
    </row>
    <row r="386" spans="1:28" x14ac:dyDescent="0.3">
      <c r="A386" s="11"/>
      <c r="B386" s="12" t="s">
        <v>204</v>
      </c>
      <c r="C386" s="14">
        <v>13</v>
      </c>
      <c r="D386" s="14">
        <v>21</v>
      </c>
      <c r="E386" s="14">
        <v>21</v>
      </c>
      <c r="F386" s="14">
        <v>18</v>
      </c>
      <c r="G386" s="14">
        <v>20</v>
      </c>
      <c r="H386" s="14">
        <v>22</v>
      </c>
      <c r="I386" s="14">
        <v>20</v>
      </c>
      <c r="J386" s="14">
        <v>17</v>
      </c>
      <c r="K386" s="14">
        <v>16</v>
      </c>
      <c r="L386" s="14">
        <v>17</v>
      </c>
      <c r="M386" s="14">
        <v>16</v>
      </c>
      <c r="N386" s="14">
        <v>17</v>
      </c>
      <c r="O386" s="13">
        <f t="shared" si="10"/>
        <v>218</v>
      </c>
      <c r="P386" s="14">
        <v>28938</v>
      </c>
      <c r="Q386" s="14">
        <v>46746</v>
      </c>
      <c r="R386" s="14">
        <v>46746</v>
      </c>
      <c r="S386" s="14">
        <v>40068</v>
      </c>
      <c r="T386" s="14">
        <v>44520</v>
      </c>
      <c r="U386" s="14">
        <v>48972</v>
      </c>
      <c r="V386" s="14">
        <v>44520</v>
      </c>
      <c r="W386" s="14">
        <v>37842</v>
      </c>
      <c r="X386" s="14">
        <v>35616</v>
      </c>
      <c r="Y386" s="14">
        <v>37842</v>
      </c>
      <c r="Z386" s="14">
        <v>35616</v>
      </c>
      <c r="AA386" s="14">
        <v>37842</v>
      </c>
      <c r="AB386" s="13">
        <f t="shared" si="11"/>
        <v>485268</v>
      </c>
    </row>
    <row r="387" spans="1:28" x14ac:dyDescent="0.3">
      <c r="A387" s="11"/>
      <c r="B387" s="12" t="s">
        <v>205</v>
      </c>
      <c r="C387" s="14">
        <v>39</v>
      </c>
      <c r="D387" s="14">
        <v>55</v>
      </c>
      <c r="E387" s="14">
        <v>46</v>
      </c>
      <c r="F387" s="14">
        <v>46</v>
      </c>
      <c r="G387" s="14">
        <v>45</v>
      </c>
      <c r="H387" s="14">
        <v>48</v>
      </c>
      <c r="I387" s="14">
        <v>44</v>
      </c>
      <c r="J387" s="14">
        <v>56</v>
      </c>
      <c r="K387" s="14">
        <v>71</v>
      </c>
      <c r="L387" s="14">
        <v>68</v>
      </c>
      <c r="M387" s="14">
        <v>73</v>
      </c>
      <c r="N387" s="14">
        <v>72</v>
      </c>
      <c r="O387" s="13">
        <f t="shared" si="10"/>
        <v>663</v>
      </c>
      <c r="P387" s="14">
        <v>86814</v>
      </c>
      <c r="Q387" s="14">
        <v>122430</v>
      </c>
      <c r="R387" s="14">
        <v>102396</v>
      </c>
      <c r="S387" s="14">
        <v>102396</v>
      </c>
      <c r="T387" s="14">
        <v>100170</v>
      </c>
      <c r="U387" s="14">
        <v>106848</v>
      </c>
      <c r="V387" s="14">
        <v>97944</v>
      </c>
      <c r="W387" s="14">
        <v>124656</v>
      </c>
      <c r="X387" s="14">
        <v>158046</v>
      </c>
      <c r="Y387" s="14">
        <v>151368</v>
      </c>
      <c r="Z387" s="14">
        <v>162498</v>
      </c>
      <c r="AA387" s="14">
        <v>160272</v>
      </c>
      <c r="AB387" s="13">
        <f t="shared" si="11"/>
        <v>1475838</v>
      </c>
    </row>
    <row r="388" spans="1:28" x14ac:dyDescent="0.3">
      <c r="A388" s="11"/>
      <c r="B388" s="12" t="s">
        <v>206</v>
      </c>
      <c r="C388" s="14">
        <v>7</v>
      </c>
      <c r="D388" s="14"/>
      <c r="E388" s="14">
        <v>8</v>
      </c>
      <c r="F388" s="14">
        <v>7</v>
      </c>
      <c r="G388" s="14">
        <v>9</v>
      </c>
      <c r="H388" s="14">
        <v>9</v>
      </c>
      <c r="I388" s="14">
        <v>9</v>
      </c>
      <c r="J388" s="14">
        <v>11</v>
      </c>
      <c r="K388" s="14">
        <v>10</v>
      </c>
      <c r="L388" s="14">
        <v>10</v>
      </c>
      <c r="M388" s="14">
        <v>10</v>
      </c>
      <c r="N388" s="14">
        <v>10</v>
      </c>
      <c r="O388" s="13">
        <f t="shared" si="10"/>
        <v>100</v>
      </c>
      <c r="P388" s="14">
        <v>15582</v>
      </c>
      <c r="Q388" s="14"/>
      <c r="R388" s="14">
        <v>17808</v>
      </c>
      <c r="S388" s="14">
        <v>15582</v>
      </c>
      <c r="T388" s="14">
        <v>20034</v>
      </c>
      <c r="U388" s="14">
        <v>20034</v>
      </c>
      <c r="V388" s="14">
        <v>20034</v>
      </c>
      <c r="W388" s="14">
        <v>24486</v>
      </c>
      <c r="X388" s="14">
        <v>22260</v>
      </c>
      <c r="Y388" s="14">
        <v>22260</v>
      </c>
      <c r="Z388" s="14">
        <v>22260</v>
      </c>
      <c r="AA388" s="14">
        <v>22260</v>
      </c>
      <c r="AB388" s="13">
        <f t="shared" si="11"/>
        <v>222600</v>
      </c>
    </row>
    <row r="389" spans="1:28" x14ac:dyDescent="0.3">
      <c r="A389" s="11"/>
      <c r="B389" s="12" t="s">
        <v>207</v>
      </c>
      <c r="C389" s="14">
        <v>39</v>
      </c>
      <c r="D389" s="14">
        <v>53</v>
      </c>
      <c r="E389" s="14">
        <v>47</v>
      </c>
      <c r="F389" s="14">
        <v>46</v>
      </c>
      <c r="G389" s="14">
        <v>43</v>
      </c>
      <c r="H389" s="14">
        <v>47</v>
      </c>
      <c r="I389" s="14">
        <v>43</v>
      </c>
      <c r="J389" s="14">
        <v>58</v>
      </c>
      <c r="K389" s="14">
        <v>65</v>
      </c>
      <c r="L389" s="14">
        <v>67</v>
      </c>
      <c r="M389" s="14">
        <v>65</v>
      </c>
      <c r="N389" s="14">
        <v>63</v>
      </c>
      <c r="O389" s="13">
        <f t="shared" si="10"/>
        <v>636</v>
      </c>
      <c r="P389" s="14">
        <v>86814</v>
      </c>
      <c r="Q389" s="14">
        <v>117978</v>
      </c>
      <c r="R389" s="14">
        <v>104622</v>
      </c>
      <c r="S389" s="14">
        <v>102396</v>
      </c>
      <c r="T389" s="14">
        <v>95718</v>
      </c>
      <c r="U389" s="14">
        <v>104622</v>
      </c>
      <c r="V389" s="14">
        <v>95718</v>
      </c>
      <c r="W389" s="14">
        <v>129108</v>
      </c>
      <c r="X389" s="14">
        <v>144690</v>
      </c>
      <c r="Y389" s="14">
        <v>149142</v>
      </c>
      <c r="Z389" s="14">
        <v>144690</v>
      </c>
      <c r="AA389" s="14">
        <v>140238</v>
      </c>
      <c r="AB389" s="13">
        <f t="shared" si="11"/>
        <v>1415736</v>
      </c>
    </row>
    <row r="390" spans="1:28" x14ac:dyDescent="0.3">
      <c r="A390" s="11"/>
      <c r="B390" s="12" t="s">
        <v>208</v>
      </c>
      <c r="C390" s="14">
        <v>7</v>
      </c>
      <c r="D390" s="14">
        <v>11</v>
      </c>
      <c r="E390" s="14">
        <v>9</v>
      </c>
      <c r="F390" s="14">
        <v>6</v>
      </c>
      <c r="G390" s="14">
        <v>9</v>
      </c>
      <c r="H390" s="14">
        <v>9</v>
      </c>
      <c r="I390" s="14">
        <v>9</v>
      </c>
      <c r="J390" s="14">
        <v>10</v>
      </c>
      <c r="K390" s="14">
        <v>10</v>
      </c>
      <c r="L390" s="14">
        <v>10</v>
      </c>
      <c r="M390" s="14">
        <v>10</v>
      </c>
      <c r="N390" s="14">
        <v>10</v>
      </c>
      <c r="O390" s="13">
        <f t="shared" si="10"/>
        <v>110</v>
      </c>
      <c r="P390" s="14">
        <v>15582</v>
      </c>
      <c r="Q390" s="14">
        <v>24486</v>
      </c>
      <c r="R390" s="14">
        <v>20034</v>
      </c>
      <c r="S390" s="14">
        <v>13356</v>
      </c>
      <c r="T390" s="14">
        <v>20034</v>
      </c>
      <c r="U390" s="14">
        <v>20034</v>
      </c>
      <c r="V390" s="14">
        <v>20034</v>
      </c>
      <c r="W390" s="14">
        <v>22260</v>
      </c>
      <c r="X390" s="14">
        <v>22260</v>
      </c>
      <c r="Y390" s="14">
        <v>22260</v>
      </c>
      <c r="Z390" s="14">
        <v>22260</v>
      </c>
      <c r="AA390" s="14">
        <v>22260</v>
      </c>
      <c r="AB390" s="13">
        <f t="shared" si="11"/>
        <v>244860</v>
      </c>
    </row>
    <row r="391" spans="1:28" x14ac:dyDescent="0.3">
      <c r="A391" s="11"/>
      <c r="B391" s="12" t="s">
        <v>209</v>
      </c>
      <c r="C391" s="14">
        <v>6</v>
      </c>
      <c r="D391" s="14">
        <v>10</v>
      </c>
      <c r="E391" s="14">
        <v>9</v>
      </c>
      <c r="F391" s="14">
        <v>7</v>
      </c>
      <c r="G391" s="14">
        <v>9</v>
      </c>
      <c r="H391" s="14">
        <v>9</v>
      </c>
      <c r="I391" s="14">
        <v>9</v>
      </c>
      <c r="J391" s="14">
        <v>10</v>
      </c>
      <c r="K391" s="14">
        <v>10</v>
      </c>
      <c r="L391" s="14">
        <v>10</v>
      </c>
      <c r="M391" s="14">
        <v>10</v>
      </c>
      <c r="N391" s="14">
        <v>10</v>
      </c>
      <c r="O391" s="13">
        <f t="shared" ref="O391:O416" si="12">IF(B391="","",SUM(C391:N391))</f>
        <v>109</v>
      </c>
      <c r="P391" s="14">
        <v>13356</v>
      </c>
      <c r="Q391" s="14">
        <v>22260</v>
      </c>
      <c r="R391" s="14">
        <v>20034</v>
      </c>
      <c r="S391" s="14">
        <v>15582</v>
      </c>
      <c r="T391" s="14">
        <v>20034</v>
      </c>
      <c r="U391" s="14">
        <v>20034</v>
      </c>
      <c r="V391" s="14">
        <v>20034</v>
      </c>
      <c r="W391" s="14">
        <v>22260</v>
      </c>
      <c r="X391" s="14">
        <v>22260</v>
      </c>
      <c r="Y391" s="14">
        <v>22260</v>
      </c>
      <c r="Z391" s="14">
        <v>22260</v>
      </c>
      <c r="AA391" s="14">
        <v>22260</v>
      </c>
      <c r="AB391" s="13">
        <f t="shared" ref="AB391:AB416" si="13">IF(B391="","",SUM(P391:AA391))</f>
        <v>242634</v>
      </c>
    </row>
    <row r="392" spans="1:28" x14ac:dyDescent="0.3">
      <c r="A392" s="11"/>
      <c r="B392" s="12" t="s">
        <v>210</v>
      </c>
      <c r="C392" s="14">
        <v>16</v>
      </c>
      <c r="D392" s="14">
        <v>20</v>
      </c>
      <c r="E392" s="14">
        <v>19</v>
      </c>
      <c r="F392" s="14">
        <v>17</v>
      </c>
      <c r="G392" s="14">
        <v>18</v>
      </c>
      <c r="H392" s="14">
        <v>20</v>
      </c>
      <c r="I392" s="14">
        <v>19</v>
      </c>
      <c r="J392" s="14">
        <v>17</v>
      </c>
      <c r="K392" s="14">
        <v>16</v>
      </c>
      <c r="L392" s="14">
        <v>17</v>
      </c>
      <c r="M392" s="14">
        <v>18</v>
      </c>
      <c r="N392" s="14">
        <v>17</v>
      </c>
      <c r="O392" s="13">
        <f t="shared" si="12"/>
        <v>214</v>
      </c>
      <c r="P392" s="14">
        <v>35616</v>
      </c>
      <c r="Q392" s="14">
        <v>44520</v>
      </c>
      <c r="R392" s="14">
        <v>42294</v>
      </c>
      <c r="S392" s="14">
        <v>37842</v>
      </c>
      <c r="T392" s="14">
        <v>40068</v>
      </c>
      <c r="U392" s="14">
        <v>44520</v>
      </c>
      <c r="V392" s="14">
        <v>42294</v>
      </c>
      <c r="W392" s="14">
        <v>37842</v>
      </c>
      <c r="X392" s="14">
        <v>35616</v>
      </c>
      <c r="Y392" s="14">
        <v>37842</v>
      </c>
      <c r="Z392" s="14">
        <v>40068</v>
      </c>
      <c r="AA392" s="14">
        <v>37842</v>
      </c>
      <c r="AB392" s="13">
        <f t="shared" si="13"/>
        <v>476364</v>
      </c>
    </row>
    <row r="393" spans="1:28" x14ac:dyDescent="0.3">
      <c r="A393" s="11"/>
      <c r="B393" s="12" t="s">
        <v>211</v>
      </c>
      <c r="C393" s="14">
        <v>44</v>
      </c>
      <c r="D393" s="14">
        <v>46</v>
      </c>
      <c r="E393" s="14">
        <v>45</v>
      </c>
      <c r="F393" s="14">
        <v>45</v>
      </c>
      <c r="G393" s="14">
        <v>43</v>
      </c>
      <c r="H393" s="14">
        <v>44</v>
      </c>
      <c r="I393" s="14">
        <v>41</v>
      </c>
      <c r="J393" s="14">
        <v>60</v>
      </c>
      <c r="K393" s="14">
        <v>65</v>
      </c>
      <c r="L393" s="14">
        <v>67</v>
      </c>
      <c r="M393" s="14">
        <v>63</v>
      </c>
      <c r="N393" s="14">
        <v>64</v>
      </c>
      <c r="O393" s="13">
        <f t="shared" si="12"/>
        <v>627</v>
      </c>
      <c r="P393" s="14">
        <v>97944</v>
      </c>
      <c r="Q393" s="14">
        <v>102396</v>
      </c>
      <c r="R393" s="14">
        <v>100170</v>
      </c>
      <c r="S393" s="14">
        <v>100170</v>
      </c>
      <c r="T393" s="14">
        <v>95718</v>
      </c>
      <c r="U393" s="14">
        <v>97944</v>
      </c>
      <c r="V393" s="14">
        <v>91266</v>
      </c>
      <c r="W393" s="14">
        <v>133560</v>
      </c>
      <c r="X393" s="14">
        <v>144690</v>
      </c>
      <c r="Y393" s="14">
        <v>149142</v>
      </c>
      <c r="Z393" s="14">
        <v>140238</v>
      </c>
      <c r="AA393" s="14">
        <v>142464</v>
      </c>
      <c r="AB393" s="13">
        <f t="shared" si="13"/>
        <v>1395702</v>
      </c>
    </row>
    <row r="394" spans="1:28" x14ac:dyDescent="0.3">
      <c r="A394" s="11"/>
      <c r="B394" s="12" t="s">
        <v>212</v>
      </c>
      <c r="C394" s="14">
        <v>12</v>
      </c>
      <c r="D394" s="14">
        <v>12</v>
      </c>
      <c r="E394" s="14">
        <v>9</v>
      </c>
      <c r="F394" s="14">
        <v>8</v>
      </c>
      <c r="G394" s="14">
        <v>9</v>
      </c>
      <c r="H394" s="14">
        <v>10</v>
      </c>
      <c r="I394" s="14">
        <v>10</v>
      </c>
      <c r="J394" s="14">
        <v>11</v>
      </c>
      <c r="K394" s="14">
        <v>11</v>
      </c>
      <c r="L394" s="14">
        <v>10</v>
      </c>
      <c r="M394" s="14">
        <v>11</v>
      </c>
      <c r="N394" s="14">
        <v>11</v>
      </c>
      <c r="O394" s="13">
        <f t="shared" si="12"/>
        <v>124</v>
      </c>
      <c r="P394" s="14">
        <v>26712</v>
      </c>
      <c r="Q394" s="14">
        <v>26712</v>
      </c>
      <c r="R394" s="14">
        <v>20034</v>
      </c>
      <c r="S394" s="14">
        <v>17808</v>
      </c>
      <c r="T394" s="14">
        <v>20034</v>
      </c>
      <c r="U394" s="14">
        <v>22260</v>
      </c>
      <c r="V394" s="14">
        <v>22260</v>
      </c>
      <c r="W394" s="14">
        <v>24486</v>
      </c>
      <c r="X394" s="14">
        <v>24486</v>
      </c>
      <c r="Y394" s="14">
        <v>22260</v>
      </c>
      <c r="Z394" s="14">
        <v>24486</v>
      </c>
      <c r="AA394" s="14">
        <v>24486</v>
      </c>
      <c r="AB394" s="13">
        <f t="shared" si="13"/>
        <v>276024</v>
      </c>
    </row>
    <row r="395" spans="1:28" x14ac:dyDescent="0.3">
      <c r="A395" s="11"/>
      <c r="B395" s="12" t="s">
        <v>213</v>
      </c>
      <c r="C395" s="14">
        <v>16</v>
      </c>
      <c r="D395" s="14">
        <v>20</v>
      </c>
      <c r="E395" s="14">
        <v>20</v>
      </c>
      <c r="F395" s="14">
        <v>17</v>
      </c>
      <c r="G395" s="14">
        <v>18</v>
      </c>
      <c r="H395" s="14">
        <v>21</v>
      </c>
      <c r="I395" s="14">
        <v>20</v>
      </c>
      <c r="J395" s="14">
        <v>15</v>
      </c>
      <c r="K395" s="14">
        <v>15</v>
      </c>
      <c r="L395" s="14">
        <v>16</v>
      </c>
      <c r="M395" s="14">
        <v>16</v>
      </c>
      <c r="N395" s="14">
        <v>15</v>
      </c>
      <c r="O395" s="13">
        <f t="shared" si="12"/>
        <v>209</v>
      </c>
      <c r="P395" s="14">
        <v>35616</v>
      </c>
      <c r="Q395" s="14">
        <v>44520</v>
      </c>
      <c r="R395" s="14">
        <v>44520</v>
      </c>
      <c r="S395" s="14">
        <v>37842</v>
      </c>
      <c r="T395" s="14">
        <v>40068</v>
      </c>
      <c r="U395" s="14">
        <v>46746</v>
      </c>
      <c r="V395" s="14">
        <v>44520</v>
      </c>
      <c r="W395" s="14">
        <v>33390</v>
      </c>
      <c r="X395" s="14">
        <v>33390</v>
      </c>
      <c r="Y395" s="14">
        <v>35616</v>
      </c>
      <c r="Z395" s="14">
        <v>35616</v>
      </c>
      <c r="AA395" s="14">
        <v>33390</v>
      </c>
      <c r="AB395" s="13">
        <f t="shared" si="13"/>
        <v>465234</v>
      </c>
    </row>
    <row r="396" spans="1:28" x14ac:dyDescent="0.3">
      <c r="A396" s="11"/>
      <c r="B396" s="12" t="s">
        <v>214</v>
      </c>
      <c r="C396" s="14">
        <v>42</v>
      </c>
      <c r="D396" s="14">
        <v>46</v>
      </c>
      <c r="E396" s="14">
        <v>47</v>
      </c>
      <c r="F396" s="14">
        <v>45</v>
      </c>
      <c r="G396" s="14">
        <v>44</v>
      </c>
      <c r="H396" s="14">
        <v>47</v>
      </c>
      <c r="I396" s="14">
        <v>44</v>
      </c>
      <c r="J396" s="14">
        <v>59</v>
      </c>
      <c r="K396" s="14">
        <v>64</v>
      </c>
      <c r="L396" s="14">
        <v>65</v>
      </c>
      <c r="M396" s="14">
        <v>66</v>
      </c>
      <c r="N396" s="14">
        <v>64</v>
      </c>
      <c r="O396" s="13">
        <f t="shared" si="12"/>
        <v>633</v>
      </c>
      <c r="P396" s="14">
        <v>93492</v>
      </c>
      <c r="Q396" s="14">
        <v>102396</v>
      </c>
      <c r="R396" s="14">
        <v>104622</v>
      </c>
      <c r="S396" s="14">
        <v>100170</v>
      </c>
      <c r="T396" s="14">
        <v>97944</v>
      </c>
      <c r="U396" s="14">
        <v>104622</v>
      </c>
      <c r="V396" s="14">
        <v>97944</v>
      </c>
      <c r="W396" s="14">
        <v>131334</v>
      </c>
      <c r="X396" s="14">
        <v>142464</v>
      </c>
      <c r="Y396" s="14">
        <v>144690</v>
      </c>
      <c r="Z396" s="14">
        <v>146916</v>
      </c>
      <c r="AA396" s="14">
        <v>142464</v>
      </c>
      <c r="AB396" s="13">
        <f t="shared" si="13"/>
        <v>1409058</v>
      </c>
    </row>
    <row r="397" spans="1:28" x14ac:dyDescent="0.3">
      <c r="A397" s="11"/>
      <c r="B397" s="12" t="s">
        <v>215</v>
      </c>
      <c r="C397" s="14">
        <v>7</v>
      </c>
      <c r="D397" s="14">
        <v>10</v>
      </c>
      <c r="E397" s="14">
        <v>30</v>
      </c>
      <c r="F397" s="14">
        <v>22</v>
      </c>
      <c r="G397" s="14">
        <v>27</v>
      </c>
      <c r="H397" s="14">
        <v>28</v>
      </c>
      <c r="I397" s="14">
        <v>25</v>
      </c>
      <c r="J397" s="14">
        <v>26</v>
      </c>
      <c r="K397" s="14">
        <v>26</v>
      </c>
      <c r="L397" s="14">
        <v>27</v>
      </c>
      <c r="M397" s="14">
        <v>26</v>
      </c>
      <c r="N397" s="14">
        <v>23</v>
      </c>
      <c r="O397" s="13">
        <f t="shared" si="12"/>
        <v>277</v>
      </c>
      <c r="P397" s="14">
        <v>15582</v>
      </c>
      <c r="Q397" s="14">
        <v>22260</v>
      </c>
      <c r="R397" s="14">
        <v>66780</v>
      </c>
      <c r="S397" s="14">
        <v>48972</v>
      </c>
      <c r="T397" s="14">
        <v>60102</v>
      </c>
      <c r="U397" s="14">
        <v>62328</v>
      </c>
      <c r="V397" s="14">
        <v>55650</v>
      </c>
      <c r="W397" s="14">
        <v>57876</v>
      </c>
      <c r="X397" s="14">
        <v>57876</v>
      </c>
      <c r="Y397" s="14">
        <v>60102</v>
      </c>
      <c r="Z397" s="14">
        <v>57876</v>
      </c>
      <c r="AA397" s="14">
        <v>51198</v>
      </c>
      <c r="AB397" s="13">
        <f t="shared" si="13"/>
        <v>616602</v>
      </c>
    </row>
    <row r="398" spans="1:28" x14ac:dyDescent="0.3">
      <c r="A398" s="11"/>
      <c r="B398" s="12" t="s">
        <v>216</v>
      </c>
      <c r="C398" s="14">
        <v>32</v>
      </c>
      <c r="D398" s="14"/>
      <c r="E398" s="14">
        <v>40</v>
      </c>
      <c r="F398" s="14">
        <v>49</v>
      </c>
      <c r="G398" s="14">
        <v>51</v>
      </c>
      <c r="H398" s="14">
        <v>53</v>
      </c>
      <c r="I398" s="14">
        <v>53</v>
      </c>
      <c r="J398" s="14">
        <v>68</v>
      </c>
      <c r="K398" s="14">
        <v>74</v>
      </c>
      <c r="L398" s="14">
        <v>75</v>
      </c>
      <c r="M398" s="14">
        <v>76</v>
      </c>
      <c r="N398" s="14">
        <v>75</v>
      </c>
      <c r="O398" s="13">
        <f t="shared" si="12"/>
        <v>646</v>
      </c>
      <c r="P398" s="14">
        <v>71232</v>
      </c>
      <c r="Q398" s="14"/>
      <c r="R398" s="14">
        <v>89040</v>
      </c>
      <c r="S398" s="14">
        <v>109074</v>
      </c>
      <c r="T398" s="14">
        <v>113526</v>
      </c>
      <c r="U398" s="14">
        <v>117978</v>
      </c>
      <c r="V398" s="14">
        <v>117978</v>
      </c>
      <c r="W398" s="14">
        <v>151368</v>
      </c>
      <c r="X398" s="14">
        <v>164724</v>
      </c>
      <c r="Y398" s="14">
        <v>166950</v>
      </c>
      <c r="Z398" s="14">
        <v>169176</v>
      </c>
      <c r="AA398" s="14">
        <v>166950</v>
      </c>
      <c r="AB398" s="13">
        <f t="shared" si="13"/>
        <v>1437996</v>
      </c>
    </row>
    <row r="399" spans="1:28" x14ac:dyDescent="0.3">
      <c r="A399" s="11"/>
      <c r="B399" s="12" t="s">
        <v>217</v>
      </c>
      <c r="C399" s="14">
        <v>7</v>
      </c>
      <c r="D399" s="14">
        <v>10</v>
      </c>
      <c r="E399" s="14">
        <v>8</v>
      </c>
      <c r="F399" s="14">
        <v>7</v>
      </c>
      <c r="G399" s="14">
        <v>9</v>
      </c>
      <c r="H399" s="14">
        <v>9</v>
      </c>
      <c r="I399" s="14">
        <v>9</v>
      </c>
      <c r="J399" s="14">
        <v>10</v>
      </c>
      <c r="K399" s="14">
        <v>10</v>
      </c>
      <c r="L399" s="14">
        <v>10</v>
      </c>
      <c r="M399" s="14">
        <v>10</v>
      </c>
      <c r="N399" s="14">
        <v>9</v>
      </c>
      <c r="O399" s="13">
        <f t="shared" si="12"/>
        <v>108</v>
      </c>
      <c r="P399" s="14">
        <v>15582</v>
      </c>
      <c r="Q399" s="14">
        <v>22260</v>
      </c>
      <c r="R399" s="14">
        <v>17808</v>
      </c>
      <c r="S399" s="14">
        <v>15582</v>
      </c>
      <c r="T399" s="14">
        <v>20034</v>
      </c>
      <c r="U399" s="14">
        <v>20034</v>
      </c>
      <c r="V399" s="14">
        <v>20034</v>
      </c>
      <c r="W399" s="14">
        <v>22260</v>
      </c>
      <c r="X399" s="14">
        <v>22260</v>
      </c>
      <c r="Y399" s="14">
        <v>22260</v>
      </c>
      <c r="Z399" s="14">
        <v>22260</v>
      </c>
      <c r="AA399" s="14">
        <v>20034</v>
      </c>
      <c r="AB399" s="13">
        <f t="shared" si="13"/>
        <v>240408</v>
      </c>
    </row>
    <row r="400" spans="1:28" x14ac:dyDescent="0.3">
      <c r="A400" s="11"/>
      <c r="B400" s="12" t="s">
        <v>218</v>
      </c>
      <c r="C400" s="14">
        <v>41</v>
      </c>
      <c r="D400" s="14">
        <v>53</v>
      </c>
      <c r="E400" s="14">
        <v>47</v>
      </c>
      <c r="F400" s="14">
        <v>45</v>
      </c>
      <c r="G400" s="14">
        <v>44</v>
      </c>
      <c r="H400" s="14">
        <v>45</v>
      </c>
      <c r="I400" s="14">
        <v>40</v>
      </c>
      <c r="J400" s="14">
        <v>57</v>
      </c>
      <c r="K400" s="14">
        <v>65</v>
      </c>
      <c r="L400" s="14">
        <v>66</v>
      </c>
      <c r="M400" s="14">
        <v>67</v>
      </c>
      <c r="N400" s="14">
        <v>63</v>
      </c>
      <c r="O400" s="13">
        <f t="shared" si="12"/>
        <v>633</v>
      </c>
      <c r="P400" s="14">
        <v>91266</v>
      </c>
      <c r="Q400" s="14">
        <v>117978</v>
      </c>
      <c r="R400" s="14">
        <v>104622</v>
      </c>
      <c r="S400" s="14">
        <v>100170</v>
      </c>
      <c r="T400" s="14">
        <v>97944</v>
      </c>
      <c r="U400" s="14">
        <v>100170</v>
      </c>
      <c r="V400" s="14">
        <v>89040</v>
      </c>
      <c r="W400" s="14">
        <v>126882</v>
      </c>
      <c r="X400" s="14">
        <v>144690</v>
      </c>
      <c r="Y400" s="14">
        <v>146916</v>
      </c>
      <c r="Z400" s="14">
        <v>149142</v>
      </c>
      <c r="AA400" s="14">
        <v>140238</v>
      </c>
      <c r="AB400" s="13">
        <f t="shared" si="13"/>
        <v>1409058</v>
      </c>
    </row>
    <row r="401" spans="1:28" x14ac:dyDescent="0.3">
      <c r="A401" s="11"/>
      <c r="B401" s="12" t="s">
        <v>219</v>
      </c>
      <c r="C401" s="14">
        <v>22</v>
      </c>
      <c r="D401" s="14">
        <v>36</v>
      </c>
      <c r="E401" s="14">
        <v>38</v>
      </c>
      <c r="F401" s="14">
        <v>36</v>
      </c>
      <c r="G401" s="14">
        <v>35</v>
      </c>
      <c r="H401" s="14">
        <v>26</v>
      </c>
      <c r="I401" s="14">
        <v>41</v>
      </c>
      <c r="J401" s="14">
        <v>58</v>
      </c>
      <c r="K401" s="14">
        <v>64</v>
      </c>
      <c r="L401" s="14">
        <v>65</v>
      </c>
      <c r="M401" s="14">
        <v>66</v>
      </c>
      <c r="N401" s="14">
        <v>63</v>
      </c>
      <c r="O401" s="13">
        <f t="shared" si="12"/>
        <v>550</v>
      </c>
      <c r="P401" s="14">
        <v>48972</v>
      </c>
      <c r="Q401" s="14">
        <v>80136</v>
      </c>
      <c r="R401" s="14">
        <v>84588</v>
      </c>
      <c r="S401" s="14">
        <v>80136</v>
      </c>
      <c r="T401" s="14">
        <v>77910</v>
      </c>
      <c r="U401" s="14">
        <v>57876</v>
      </c>
      <c r="V401" s="14">
        <v>91266</v>
      </c>
      <c r="W401" s="14">
        <v>129108</v>
      </c>
      <c r="X401" s="14">
        <v>142464</v>
      </c>
      <c r="Y401" s="14">
        <v>144690</v>
      </c>
      <c r="Z401" s="14">
        <v>146916</v>
      </c>
      <c r="AA401" s="14">
        <v>140238</v>
      </c>
      <c r="AB401" s="13">
        <f t="shared" si="13"/>
        <v>1224300</v>
      </c>
    </row>
    <row r="402" spans="1:28" x14ac:dyDescent="0.3">
      <c r="A402" s="11"/>
      <c r="B402" s="12" t="s">
        <v>220</v>
      </c>
      <c r="C402" s="14">
        <v>7</v>
      </c>
      <c r="D402" s="14">
        <v>9</v>
      </c>
      <c r="E402" s="14">
        <v>9</v>
      </c>
      <c r="F402" s="14">
        <v>8</v>
      </c>
      <c r="G402" s="14">
        <v>9</v>
      </c>
      <c r="H402" s="14">
        <v>11</v>
      </c>
      <c r="I402" s="14">
        <v>11</v>
      </c>
      <c r="J402" s="14">
        <v>11</v>
      </c>
      <c r="K402" s="14">
        <v>11</v>
      </c>
      <c r="L402" s="14">
        <v>11</v>
      </c>
      <c r="M402" s="14">
        <v>11</v>
      </c>
      <c r="N402" s="14">
        <v>11</v>
      </c>
      <c r="O402" s="13">
        <f t="shared" si="12"/>
        <v>119</v>
      </c>
      <c r="P402" s="14">
        <v>15582</v>
      </c>
      <c r="Q402" s="14">
        <v>20034</v>
      </c>
      <c r="R402" s="14">
        <v>20034</v>
      </c>
      <c r="S402" s="14">
        <v>17808</v>
      </c>
      <c r="T402" s="14">
        <v>20034</v>
      </c>
      <c r="U402" s="14">
        <v>24486</v>
      </c>
      <c r="V402" s="14">
        <v>24486</v>
      </c>
      <c r="W402" s="14">
        <v>24486</v>
      </c>
      <c r="X402" s="14">
        <v>24486</v>
      </c>
      <c r="Y402" s="14">
        <v>24486</v>
      </c>
      <c r="Z402" s="14">
        <v>24486</v>
      </c>
      <c r="AA402" s="14">
        <v>24486</v>
      </c>
      <c r="AB402" s="13">
        <f t="shared" si="13"/>
        <v>264894</v>
      </c>
    </row>
    <row r="403" spans="1:28" x14ac:dyDescent="0.3">
      <c r="A403" s="11"/>
      <c r="B403" s="12" t="s">
        <v>289</v>
      </c>
      <c r="C403" s="14"/>
      <c r="D403" s="14"/>
      <c r="E403" s="14"/>
      <c r="F403" s="14"/>
      <c r="G403" s="14"/>
      <c r="H403" s="14"/>
      <c r="I403" s="14"/>
      <c r="J403" s="14">
        <v>42</v>
      </c>
      <c r="K403" s="14"/>
      <c r="L403" s="14"/>
      <c r="M403" s="14"/>
      <c r="N403" s="14"/>
      <c r="O403" s="13">
        <f t="shared" si="12"/>
        <v>42</v>
      </c>
      <c r="P403" s="14"/>
      <c r="Q403" s="14"/>
      <c r="R403" s="14"/>
      <c r="S403" s="14"/>
      <c r="T403" s="14"/>
      <c r="U403" s="14"/>
      <c r="V403" s="14"/>
      <c r="W403" s="14">
        <v>93492</v>
      </c>
      <c r="X403" s="14"/>
      <c r="Y403" s="14"/>
      <c r="Z403" s="14"/>
      <c r="AA403" s="14"/>
      <c r="AB403" s="13">
        <f t="shared" si="13"/>
        <v>93492</v>
      </c>
    </row>
    <row r="404" spans="1:28" x14ac:dyDescent="0.3">
      <c r="A404" s="11"/>
      <c r="B404" s="12" t="s">
        <v>290</v>
      </c>
      <c r="C404" s="14">
        <v>624</v>
      </c>
      <c r="D404" s="14">
        <v>1587</v>
      </c>
      <c r="E404" s="14">
        <v>2790</v>
      </c>
      <c r="F404" s="14">
        <v>3859</v>
      </c>
      <c r="G404" s="14">
        <v>2350</v>
      </c>
      <c r="H404" s="14">
        <v>4344</v>
      </c>
      <c r="I404" s="14">
        <v>4232</v>
      </c>
      <c r="J404" s="14">
        <v>4655</v>
      </c>
      <c r="K404" s="14">
        <v>5197</v>
      </c>
      <c r="L404" s="14">
        <v>5159</v>
      </c>
      <c r="M404" s="14">
        <v>5217</v>
      </c>
      <c r="N404" s="14">
        <v>4528</v>
      </c>
      <c r="O404" s="13">
        <f t="shared" si="12"/>
        <v>44542</v>
      </c>
      <c r="P404" s="14">
        <v>1389024</v>
      </c>
      <c r="Q404" s="14">
        <v>3532662</v>
      </c>
      <c r="R404" s="14">
        <v>6210540</v>
      </c>
      <c r="S404" s="14">
        <v>8590134</v>
      </c>
      <c r="T404" s="14">
        <v>5231100</v>
      </c>
      <c r="U404" s="14">
        <v>9669744</v>
      </c>
      <c r="V404" s="14">
        <v>9420432</v>
      </c>
      <c r="W404" s="14">
        <v>10362030</v>
      </c>
      <c r="X404" s="14">
        <v>11568522</v>
      </c>
      <c r="Y404" s="14">
        <v>11483934</v>
      </c>
      <c r="Z404" s="14">
        <v>11613042</v>
      </c>
      <c r="AA404" s="14">
        <v>10079328</v>
      </c>
      <c r="AB404" s="13">
        <f t="shared" si="13"/>
        <v>99150492</v>
      </c>
    </row>
    <row r="405" spans="1:28" x14ac:dyDescent="0.3">
      <c r="A405" s="11"/>
      <c r="B405" s="12" t="s">
        <v>546</v>
      </c>
      <c r="C405" s="14">
        <v>158</v>
      </c>
      <c r="D405" s="14">
        <v>17</v>
      </c>
      <c r="E405" s="14">
        <v>10</v>
      </c>
      <c r="F405" s="14">
        <v>32</v>
      </c>
      <c r="G405" s="14">
        <v>24</v>
      </c>
      <c r="H405" s="14">
        <v>525</v>
      </c>
      <c r="I405" s="14">
        <v>806</v>
      </c>
      <c r="J405" s="14">
        <v>1042</v>
      </c>
      <c r="K405" s="14">
        <v>995</v>
      </c>
      <c r="L405" s="14">
        <v>884</v>
      </c>
      <c r="M405" s="14">
        <v>704</v>
      </c>
      <c r="N405" s="14">
        <v>722</v>
      </c>
      <c r="O405" s="13">
        <f t="shared" si="12"/>
        <v>5919</v>
      </c>
      <c r="P405" s="14">
        <v>351708</v>
      </c>
      <c r="Q405" s="14">
        <v>37842</v>
      </c>
      <c r="R405" s="14">
        <v>22260</v>
      </c>
      <c r="S405" s="14">
        <v>71232</v>
      </c>
      <c r="T405" s="14">
        <v>53424</v>
      </c>
      <c r="U405" s="14">
        <v>1168650</v>
      </c>
      <c r="V405" s="14">
        <v>1794156</v>
      </c>
      <c r="W405" s="14">
        <v>2319492</v>
      </c>
      <c r="X405" s="14">
        <v>2214870</v>
      </c>
      <c r="Y405" s="14">
        <v>1967784</v>
      </c>
      <c r="Z405" s="14">
        <v>1567104</v>
      </c>
      <c r="AA405" s="14">
        <v>1607172</v>
      </c>
      <c r="AB405" s="13">
        <f t="shared" si="13"/>
        <v>13175694</v>
      </c>
    </row>
    <row r="406" spans="1:28" x14ac:dyDescent="0.3">
      <c r="A406" s="11"/>
      <c r="B406" s="12" t="s">
        <v>394</v>
      </c>
      <c r="C406" s="14"/>
      <c r="D406" s="14"/>
      <c r="E406" s="14"/>
      <c r="F406" s="14">
        <v>398</v>
      </c>
      <c r="G406" s="14">
        <v>926</v>
      </c>
      <c r="H406" s="14">
        <v>1365</v>
      </c>
      <c r="I406" s="14">
        <v>2074</v>
      </c>
      <c r="J406" s="14">
        <v>1738</v>
      </c>
      <c r="K406" s="14">
        <v>317</v>
      </c>
      <c r="L406" s="14">
        <v>502</v>
      </c>
      <c r="M406" s="14">
        <v>802</v>
      </c>
      <c r="N406" s="14">
        <v>1682</v>
      </c>
      <c r="O406" s="13">
        <f t="shared" si="12"/>
        <v>9804</v>
      </c>
      <c r="P406" s="14"/>
      <c r="Q406" s="14"/>
      <c r="R406" s="14"/>
      <c r="S406" s="14">
        <v>824656</v>
      </c>
      <c r="T406" s="14">
        <v>1918672</v>
      </c>
      <c r="U406" s="14">
        <v>2828280</v>
      </c>
      <c r="V406" s="14">
        <v>4297328</v>
      </c>
      <c r="W406" s="14">
        <v>3601136</v>
      </c>
      <c r="X406" s="14">
        <v>656824</v>
      </c>
      <c r="Y406" s="14">
        <v>1040144</v>
      </c>
      <c r="Z406" s="14">
        <v>1661744</v>
      </c>
      <c r="AA406" s="14">
        <v>3485104</v>
      </c>
      <c r="AB406" s="13">
        <f t="shared" si="13"/>
        <v>20313888</v>
      </c>
    </row>
    <row r="407" spans="1:28" x14ac:dyDescent="0.3">
      <c r="A407" s="11"/>
      <c r="B407" s="12" t="s">
        <v>221</v>
      </c>
      <c r="C407" s="14"/>
      <c r="D407" s="14"/>
      <c r="E407" s="14"/>
      <c r="F407" s="14">
        <v>13</v>
      </c>
      <c r="G407" s="14">
        <v>9</v>
      </c>
      <c r="H407" s="14">
        <v>9</v>
      </c>
      <c r="I407" s="14">
        <v>10</v>
      </c>
      <c r="J407" s="14">
        <v>9</v>
      </c>
      <c r="K407" s="14">
        <v>10</v>
      </c>
      <c r="L407" s="14">
        <v>10</v>
      </c>
      <c r="M407" s="14">
        <v>10</v>
      </c>
      <c r="N407" s="14">
        <v>10</v>
      </c>
      <c r="O407" s="13">
        <f t="shared" si="12"/>
        <v>90</v>
      </c>
      <c r="P407" s="14"/>
      <c r="Q407" s="14"/>
      <c r="R407" s="14"/>
      <c r="S407" s="14">
        <v>28938</v>
      </c>
      <c r="T407" s="14">
        <v>20034</v>
      </c>
      <c r="U407" s="14">
        <v>20034</v>
      </c>
      <c r="V407" s="14">
        <v>22260</v>
      </c>
      <c r="W407" s="14">
        <v>20034</v>
      </c>
      <c r="X407" s="14">
        <v>22260</v>
      </c>
      <c r="Y407" s="14">
        <v>22260</v>
      </c>
      <c r="Z407" s="14">
        <v>22260</v>
      </c>
      <c r="AA407" s="14">
        <v>22260</v>
      </c>
      <c r="AB407" s="13">
        <f t="shared" si="13"/>
        <v>200340</v>
      </c>
    </row>
    <row r="408" spans="1:28" x14ac:dyDescent="0.3">
      <c r="A408" s="11"/>
      <c r="B408" s="12" t="s">
        <v>222</v>
      </c>
      <c r="C408" s="14"/>
      <c r="D408" s="14"/>
      <c r="E408" s="14">
        <v>48</v>
      </c>
      <c r="F408" s="14">
        <v>41</v>
      </c>
      <c r="G408" s="14">
        <v>43</v>
      </c>
      <c r="H408" s="14">
        <v>37</v>
      </c>
      <c r="I408" s="14">
        <v>27</v>
      </c>
      <c r="J408" s="14">
        <v>57</v>
      </c>
      <c r="K408" s="14">
        <v>63</v>
      </c>
      <c r="L408" s="14">
        <v>66</v>
      </c>
      <c r="M408" s="14">
        <v>66</v>
      </c>
      <c r="N408" s="14">
        <v>63</v>
      </c>
      <c r="O408" s="13">
        <f t="shared" si="12"/>
        <v>511</v>
      </c>
      <c r="P408" s="14"/>
      <c r="Q408" s="14"/>
      <c r="R408" s="14">
        <v>106848</v>
      </c>
      <c r="S408" s="14">
        <v>91266</v>
      </c>
      <c r="T408" s="14">
        <v>95718</v>
      </c>
      <c r="U408" s="14">
        <v>82362</v>
      </c>
      <c r="V408" s="14">
        <v>60102</v>
      </c>
      <c r="W408" s="14">
        <v>126882</v>
      </c>
      <c r="X408" s="14">
        <v>140238</v>
      </c>
      <c r="Y408" s="14">
        <v>146916</v>
      </c>
      <c r="Z408" s="14">
        <v>146916</v>
      </c>
      <c r="AA408" s="14">
        <v>140238</v>
      </c>
      <c r="AB408" s="13">
        <f t="shared" si="13"/>
        <v>1137486</v>
      </c>
    </row>
    <row r="409" spans="1:28" x14ac:dyDescent="0.3">
      <c r="A409" s="11"/>
      <c r="B409" s="12" t="s">
        <v>474</v>
      </c>
      <c r="C409" s="14"/>
      <c r="D409" s="14">
        <v>836</v>
      </c>
      <c r="E409" s="14">
        <v>3380</v>
      </c>
      <c r="F409" s="14">
        <v>3027</v>
      </c>
      <c r="G409" s="14">
        <v>2083</v>
      </c>
      <c r="H409" s="14">
        <v>3561</v>
      </c>
      <c r="I409" s="14">
        <v>3582</v>
      </c>
      <c r="J409" s="14">
        <v>1805</v>
      </c>
      <c r="K409" s="14">
        <v>988</v>
      </c>
      <c r="L409" s="14">
        <v>871</v>
      </c>
      <c r="M409" s="14">
        <v>924</v>
      </c>
      <c r="N409" s="14">
        <v>3062</v>
      </c>
      <c r="O409" s="13">
        <f t="shared" si="12"/>
        <v>24119</v>
      </c>
      <c r="P409" s="14"/>
      <c r="Q409" s="14">
        <v>1732192</v>
      </c>
      <c r="R409" s="14">
        <v>7003360</v>
      </c>
      <c r="S409" s="14">
        <v>6271944</v>
      </c>
      <c r="T409" s="14">
        <v>4315976</v>
      </c>
      <c r="U409" s="14">
        <v>7378392</v>
      </c>
      <c r="V409" s="14">
        <v>7421904</v>
      </c>
      <c r="W409" s="14">
        <v>3739960</v>
      </c>
      <c r="X409" s="14">
        <v>2047136</v>
      </c>
      <c r="Y409" s="14">
        <v>1804712</v>
      </c>
      <c r="Z409" s="14">
        <v>1914528</v>
      </c>
      <c r="AA409" s="14">
        <v>6344464</v>
      </c>
      <c r="AB409" s="13">
        <f t="shared" si="13"/>
        <v>49974568</v>
      </c>
    </row>
    <row r="410" spans="1:28" x14ac:dyDescent="0.3">
      <c r="A410" s="11"/>
      <c r="B410" s="12" t="s">
        <v>347</v>
      </c>
      <c r="C410" s="14"/>
      <c r="D410" s="14"/>
      <c r="E410" s="14">
        <v>60</v>
      </c>
      <c r="F410" s="14">
        <v>519</v>
      </c>
      <c r="G410" s="14">
        <v>417</v>
      </c>
      <c r="H410" s="14">
        <v>740</v>
      </c>
      <c r="I410" s="14">
        <v>744</v>
      </c>
      <c r="J410" s="14">
        <v>729</v>
      </c>
      <c r="K410" s="14">
        <v>759</v>
      </c>
      <c r="L410" s="14">
        <v>818</v>
      </c>
      <c r="M410" s="14">
        <v>839</v>
      </c>
      <c r="N410" s="14">
        <v>685</v>
      </c>
      <c r="O410" s="13">
        <f t="shared" si="12"/>
        <v>6310</v>
      </c>
      <c r="P410" s="14"/>
      <c r="Q410" s="14"/>
      <c r="R410" s="14">
        <v>133560</v>
      </c>
      <c r="S410" s="14">
        <v>1155294</v>
      </c>
      <c r="T410" s="14">
        <v>928242</v>
      </c>
      <c r="U410" s="14">
        <v>1647240</v>
      </c>
      <c r="V410" s="14">
        <v>1656144</v>
      </c>
      <c r="W410" s="14">
        <v>1622754</v>
      </c>
      <c r="X410" s="14">
        <v>1689534</v>
      </c>
      <c r="Y410" s="14">
        <v>1820868</v>
      </c>
      <c r="Z410" s="14">
        <v>1867614</v>
      </c>
      <c r="AA410" s="14">
        <v>1524810</v>
      </c>
      <c r="AB410" s="13">
        <f t="shared" si="13"/>
        <v>14046060</v>
      </c>
    </row>
    <row r="411" spans="1:28" x14ac:dyDescent="0.3">
      <c r="A411" s="11"/>
      <c r="B411" s="12" t="s">
        <v>159</v>
      </c>
      <c r="C411" s="14"/>
      <c r="D411" s="14"/>
      <c r="E411" s="14">
        <v>114</v>
      </c>
      <c r="F411" s="14">
        <v>789</v>
      </c>
      <c r="G411" s="14">
        <v>1002</v>
      </c>
      <c r="H411" s="14">
        <v>1160</v>
      </c>
      <c r="I411" s="14">
        <v>1446</v>
      </c>
      <c r="J411" s="14">
        <v>1705</v>
      </c>
      <c r="K411" s="14">
        <v>1467</v>
      </c>
      <c r="L411" s="14">
        <v>1384</v>
      </c>
      <c r="M411" s="14">
        <v>1430</v>
      </c>
      <c r="N411" s="14">
        <v>1296</v>
      </c>
      <c r="O411" s="13">
        <f t="shared" si="12"/>
        <v>11793</v>
      </c>
      <c r="P411" s="14"/>
      <c r="Q411" s="14"/>
      <c r="R411" s="14">
        <v>253764</v>
      </c>
      <c r="S411" s="14">
        <v>1756314</v>
      </c>
      <c r="T411" s="14">
        <v>2230452</v>
      </c>
      <c r="U411" s="14">
        <v>2582160</v>
      </c>
      <c r="V411" s="14">
        <v>3218796</v>
      </c>
      <c r="W411" s="14">
        <v>3795330</v>
      </c>
      <c r="X411" s="14">
        <v>3265542</v>
      </c>
      <c r="Y411" s="14">
        <v>3080784</v>
      </c>
      <c r="Z411" s="14">
        <v>3183180</v>
      </c>
      <c r="AA411" s="14">
        <v>2884896</v>
      </c>
      <c r="AB411" s="13">
        <f t="shared" si="13"/>
        <v>26251218</v>
      </c>
    </row>
    <row r="412" spans="1:28" x14ac:dyDescent="0.3">
      <c r="A412" s="11"/>
      <c r="B412" s="12" t="s">
        <v>560</v>
      </c>
      <c r="C412" s="14"/>
      <c r="D412" s="14"/>
      <c r="E412" s="14"/>
      <c r="F412" s="14">
        <v>903</v>
      </c>
      <c r="G412" s="14">
        <v>580</v>
      </c>
      <c r="H412" s="14">
        <v>1332</v>
      </c>
      <c r="I412" s="14">
        <v>1273</v>
      </c>
      <c r="J412" s="14">
        <v>1322</v>
      </c>
      <c r="K412" s="14">
        <v>1398</v>
      </c>
      <c r="L412" s="14">
        <v>641</v>
      </c>
      <c r="M412" s="14"/>
      <c r="N412" s="14"/>
      <c r="O412" s="13">
        <f t="shared" si="12"/>
        <v>7449</v>
      </c>
      <c r="P412" s="14"/>
      <c r="Q412" s="14"/>
      <c r="R412" s="14"/>
      <c r="S412" s="14">
        <v>2010078</v>
      </c>
      <c r="T412" s="14">
        <v>1291080</v>
      </c>
      <c r="U412" s="14">
        <v>2965032</v>
      </c>
      <c r="V412" s="14">
        <v>2833698</v>
      </c>
      <c r="W412" s="14">
        <v>2942772</v>
      </c>
      <c r="X412" s="14">
        <v>3111948</v>
      </c>
      <c r="Y412" s="14">
        <v>1426866</v>
      </c>
      <c r="Z412" s="14"/>
      <c r="AA412" s="14"/>
      <c r="AB412" s="13">
        <f t="shared" si="13"/>
        <v>16581474</v>
      </c>
    </row>
    <row r="413" spans="1:28" x14ac:dyDescent="0.3">
      <c r="A413" s="11"/>
      <c r="B413" s="12" t="s">
        <v>554</v>
      </c>
      <c r="C413" s="14"/>
      <c r="D413" s="14"/>
      <c r="E413" s="14"/>
      <c r="F413" s="14"/>
      <c r="G413" s="14"/>
      <c r="H413" s="14"/>
      <c r="I413" s="14">
        <v>670</v>
      </c>
      <c r="J413" s="14">
        <v>897</v>
      </c>
      <c r="K413" s="14">
        <v>720</v>
      </c>
      <c r="L413" s="14">
        <v>632</v>
      </c>
      <c r="M413" s="14">
        <v>777</v>
      </c>
      <c r="N413" s="14">
        <v>643</v>
      </c>
      <c r="O413" s="13">
        <f t="shared" si="12"/>
        <v>4339</v>
      </c>
      <c r="P413" s="14"/>
      <c r="Q413" s="14"/>
      <c r="R413" s="14"/>
      <c r="S413" s="14"/>
      <c r="T413" s="14"/>
      <c r="U413" s="14"/>
      <c r="V413" s="14">
        <v>1491420</v>
      </c>
      <c r="W413" s="14">
        <v>1996722</v>
      </c>
      <c r="X413" s="14">
        <v>1602720</v>
      </c>
      <c r="Y413" s="14">
        <v>1406832</v>
      </c>
      <c r="Z413" s="14">
        <v>1729602</v>
      </c>
      <c r="AA413" s="14">
        <v>1431318</v>
      </c>
      <c r="AB413" s="13">
        <f t="shared" si="13"/>
        <v>9658614</v>
      </c>
    </row>
    <row r="414" spans="1:28" x14ac:dyDescent="0.3">
      <c r="A414" s="11"/>
      <c r="B414" s="12" t="s">
        <v>304</v>
      </c>
      <c r="C414" s="14"/>
      <c r="D414" s="14"/>
      <c r="E414" s="14"/>
      <c r="F414" s="14"/>
      <c r="G414" s="14"/>
      <c r="H414" s="14"/>
      <c r="I414" s="14"/>
      <c r="J414" s="14">
        <v>667</v>
      </c>
      <c r="K414" s="14">
        <v>694</v>
      </c>
      <c r="L414" s="14">
        <v>794</v>
      </c>
      <c r="M414" s="14">
        <v>839</v>
      </c>
      <c r="N414" s="14">
        <v>646</v>
      </c>
      <c r="O414" s="13">
        <f t="shared" si="12"/>
        <v>3640</v>
      </c>
      <c r="P414" s="14"/>
      <c r="Q414" s="14"/>
      <c r="R414" s="14"/>
      <c r="S414" s="14"/>
      <c r="T414" s="14"/>
      <c r="U414" s="14"/>
      <c r="V414" s="14"/>
      <c r="W414" s="14">
        <v>1382024</v>
      </c>
      <c r="X414" s="14">
        <v>1437968</v>
      </c>
      <c r="Y414" s="14">
        <v>1645168</v>
      </c>
      <c r="Z414" s="14">
        <v>1738408</v>
      </c>
      <c r="AA414" s="14">
        <v>1338512</v>
      </c>
      <c r="AB414" s="13">
        <f t="shared" si="13"/>
        <v>7542080</v>
      </c>
    </row>
    <row r="415" spans="1:28" x14ac:dyDescent="0.3">
      <c r="A415" s="11"/>
      <c r="B415" s="12" t="s">
        <v>555</v>
      </c>
      <c r="C415" s="14"/>
      <c r="D415" s="14"/>
      <c r="E415" s="14"/>
      <c r="F415" s="14"/>
      <c r="G415" s="14"/>
      <c r="H415" s="14"/>
      <c r="I415" s="14"/>
      <c r="J415" s="14"/>
      <c r="K415" s="14">
        <v>545</v>
      </c>
      <c r="L415" s="14">
        <v>720</v>
      </c>
      <c r="M415" s="14">
        <v>825</v>
      </c>
      <c r="N415" s="14">
        <v>794</v>
      </c>
      <c r="O415" s="13">
        <f t="shared" si="12"/>
        <v>2884</v>
      </c>
      <c r="P415" s="14"/>
      <c r="Q415" s="14"/>
      <c r="R415" s="14"/>
      <c r="S415" s="14"/>
      <c r="T415" s="14"/>
      <c r="U415" s="14"/>
      <c r="V415" s="14"/>
      <c r="W415" s="14"/>
      <c r="X415" s="14">
        <v>1213170</v>
      </c>
      <c r="Y415" s="14">
        <v>1602720</v>
      </c>
      <c r="Z415" s="14">
        <v>1836450</v>
      </c>
      <c r="AA415" s="14">
        <v>1767444</v>
      </c>
      <c r="AB415" s="13">
        <f t="shared" si="13"/>
        <v>6419784</v>
      </c>
    </row>
    <row r="416" spans="1:28" x14ac:dyDescent="0.3">
      <c r="A416" s="11"/>
      <c r="B416" s="12" t="s">
        <v>771</v>
      </c>
      <c r="C416" s="14"/>
      <c r="D416" s="14">
        <v>1099</v>
      </c>
      <c r="E416" s="14">
        <v>1703</v>
      </c>
      <c r="F416" s="14">
        <v>2134</v>
      </c>
      <c r="G416" s="14">
        <v>1759</v>
      </c>
      <c r="H416" s="14">
        <v>1844</v>
      </c>
      <c r="I416" s="14">
        <v>1852</v>
      </c>
      <c r="J416" s="14">
        <v>1831</v>
      </c>
      <c r="K416" s="14">
        <v>1947</v>
      </c>
      <c r="L416" s="14">
        <v>1951</v>
      </c>
      <c r="M416" s="14">
        <v>1953</v>
      </c>
      <c r="N416" s="14">
        <v>2018</v>
      </c>
      <c r="O416" s="13">
        <f t="shared" si="12"/>
        <v>20091</v>
      </c>
      <c r="P416" s="14"/>
      <c r="Q416" s="14">
        <v>2446374</v>
      </c>
      <c r="R416" s="14">
        <v>3790878</v>
      </c>
      <c r="S416" s="14">
        <v>4750284</v>
      </c>
      <c r="T416" s="14">
        <v>3915534</v>
      </c>
      <c r="U416" s="14">
        <v>4104744</v>
      </c>
      <c r="V416" s="14">
        <v>4122552</v>
      </c>
      <c r="W416" s="14">
        <v>4075806</v>
      </c>
      <c r="X416" s="14">
        <v>4334022</v>
      </c>
      <c r="Y416" s="14">
        <v>4342926</v>
      </c>
      <c r="Z416" s="14">
        <v>4347378</v>
      </c>
      <c r="AA416" s="14">
        <v>4492068</v>
      </c>
      <c r="AB416" s="13">
        <f t="shared" si="13"/>
        <v>44722566</v>
      </c>
    </row>
  </sheetData>
  <mergeCells count="2">
    <mergeCell ref="A1:AB1"/>
    <mergeCell ref="A2:A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HuongDan</vt:lpstr>
      <vt:lpstr>Bieu01</vt:lpstr>
      <vt:lpstr>Bieu02</vt:lpstr>
      <vt:lpstr>Bieu03</vt:lpstr>
      <vt:lpstr>Bieu03A_DS_TBA</vt:lpstr>
      <vt:lpstr>Bieu04</vt:lpstr>
      <vt:lpstr>Bieu04A_12thang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Trần Đại Thức</cp:lastModifiedBy>
  <cp:revision>0</cp:revision>
  <dcterms:created xsi:type="dcterms:W3CDTF">2026-10-05T07:47:49Z</dcterms:created>
  <dcterms:modified xsi:type="dcterms:W3CDTF">2026-10-20T01:32:38Z</dcterms:modified>
  <dc:language>en-US</dc:language>
</cp:coreProperties>
</file>