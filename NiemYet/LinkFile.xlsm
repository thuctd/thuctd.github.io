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B:\thuctd.github.io\NiemYet\"/>
    </mc:Choice>
  </mc:AlternateContent>
  <xr:revisionPtr revIDLastSave="0" documentId="13_ncr:1_{69E01698-8DEB-4386-A673-2CEE772F8B54}" xr6:coauthVersionLast="47" xr6:coauthVersionMax="47" xr10:uidLastSave="{00000000-0000-0000-0000-000000000000}"/>
  <bookViews>
    <workbookView xWindow="-108" yWindow="-108" windowWidth="23256" windowHeight="12456" tabRatio="694" xr2:uid="{00000000-000D-0000-FFFF-FFFF00000000}"/>
  </bookViews>
  <sheets>
    <sheet name="Tạo Link" sheetId="1" r:id="rId1"/>
  </sheets>
  <definedNames>
    <definedName name="_xlnm._FilterDatabase" localSheetId="0" hidden="1">'Tạo Link'!$A$8:$FS$495</definedName>
    <definedName name="COHOADON">#REF!</definedName>
    <definedName name="DMT">#REF!</definedName>
    <definedName name="HLCol">#REF!</definedName>
    <definedName name="HoaDon">#REF!</definedName>
    <definedName name="TIEN_EVNMUA_FIT1">#REF!</definedName>
    <definedName name="TIEN_EVNMUA_FIT2">#REF!</definedName>
    <definedName name="TIEN_TTOA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" i="1" l="1"/>
  <c r="G93" i="1"/>
  <c r="G78" i="1"/>
  <c r="G71" i="1"/>
  <c r="G69" i="1"/>
  <c r="G79" i="1"/>
  <c r="G77" i="1"/>
  <c r="G70" i="1"/>
  <c r="G65" i="1"/>
  <c r="G63" i="1"/>
  <c r="G61" i="1"/>
  <c r="G56" i="1"/>
  <c r="G43" i="1"/>
  <c r="G32" i="1"/>
  <c r="G21" i="1"/>
  <c r="G135" i="1"/>
  <c r="G131" i="1"/>
  <c r="G92" i="1"/>
  <c r="G113" i="1"/>
  <c r="G110" i="1"/>
  <c r="G107" i="1"/>
  <c r="G104" i="1"/>
  <c r="G101" i="1"/>
  <c r="G98" i="1"/>
  <c r="G95" i="1"/>
  <c r="G91" i="1"/>
  <c r="G89" i="1"/>
  <c r="G88" i="1"/>
  <c r="G83" i="1"/>
  <c r="G126" i="1"/>
  <c r="G124" i="1"/>
  <c r="G122" i="1"/>
  <c r="G120" i="1"/>
  <c r="G118" i="1"/>
  <c r="G115" i="1"/>
  <c r="G112" i="1"/>
  <c r="G109" i="1"/>
  <c r="G106" i="1"/>
  <c r="G103" i="1"/>
  <c r="G100" i="1"/>
  <c r="G97" i="1"/>
  <c r="G125" i="1"/>
  <c r="G123" i="1"/>
  <c r="G121" i="1"/>
  <c r="G119" i="1"/>
  <c r="G117" i="1"/>
  <c r="G114" i="1"/>
  <c r="G111" i="1"/>
  <c r="G108" i="1"/>
  <c r="G105" i="1"/>
  <c r="G102" i="1"/>
  <c r="G99" i="1"/>
  <c r="G96" i="1"/>
  <c r="G133" i="1"/>
  <c r="G128" i="1"/>
  <c r="G127" i="1"/>
  <c r="G129" i="1"/>
  <c r="G116" i="1"/>
  <c r="G94" i="1"/>
  <c r="G85" i="1"/>
  <c r="G82" i="1"/>
  <c r="G64" i="1"/>
  <c r="G54" i="1"/>
  <c r="G49" i="1"/>
  <c r="G48" i="1"/>
  <c r="G38" i="1"/>
  <c r="G34" i="1"/>
  <c r="G136" i="1"/>
  <c r="G76" i="1"/>
  <c r="G68" i="1"/>
  <c r="G30" i="1"/>
  <c r="G17" i="1"/>
  <c r="G62" i="1"/>
  <c r="G59" i="1"/>
  <c r="G55" i="1"/>
  <c r="G50" i="1"/>
  <c r="G46" i="1"/>
  <c r="G86" i="1"/>
  <c r="G132" i="1"/>
  <c r="G58" i="1"/>
  <c r="G57" i="1"/>
  <c r="G31" i="1"/>
  <c r="G52" i="1"/>
  <c r="G45" i="1"/>
  <c r="G42" i="1"/>
  <c r="G36" i="1"/>
  <c r="G73" i="1"/>
  <c r="G72" i="1"/>
  <c r="G60" i="1"/>
  <c r="G53" i="1"/>
  <c r="G47" i="1"/>
  <c r="G44" i="1"/>
  <c r="G37" i="1"/>
  <c r="G33" i="1"/>
  <c r="G24" i="1"/>
  <c r="G134" i="1"/>
  <c r="G130" i="1"/>
  <c r="G87" i="1"/>
  <c r="G20" i="1"/>
  <c r="G90" i="1"/>
  <c r="G84" i="1"/>
  <c r="G81" i="1"/>
  <c r="G80" i="1"/>
  <c r="G75" i="1"/>
  <c r="G74" i="1"/>
  <c r="G67" i="1"/>
  <c r="G66" i="1"/>
  <c r="G51" i="1"/>
  <c r="G41" i="1"/>
  <c r="G40" i="1"/>
  <c r="G39" i="1"/>
  <c r="G35" i="1"/>
  <c r="G29" i="1"/>
  <c r="G28" i="1"/>
  <c r="G27" i="1"/>
  <c r="G26" i="1"/>
  <c r="G25" i="1"/>
  <c r="G23" i="1"/>
  <c r="G22" i="1"/>
  <c r="G19" i="1"/>
  <c r="G18" i="1"/>
  <c r="G16" i="1"/>
  <c r="G15" i="1"/>
  <c r="G14" i="1"/>
  <c r="G13" i="1"/>
  <c r="G12" i="1"/>
  <c r="G11" i="1"/>
  <c r="G10" i="1"/>
  <c r="G9" i="1"/>
  <c r="H109" i="1"/>
  <c r="H117" i="1"/>
  <c r="H125" i="1"/>
  <c r="H133" i="1"/>
  <c r="H141" i="1"/>
  <c r="H149" i="1"/>
  <c r="H157" i="1"/>
  <c r="H165" i="1"/>
  <c r="H167" i="1"/>
  <c r="H120" i="1"/>
  <c r="H144" i="1"/>
  <c r="H160" i="1"/>
  <c r="H113" i="1"/>
  <c r="H137" i="1"/>
  <c r="H161" i="1"/>
  <c r="H130" i="1"/>
  <c r="H146" i="1"/>
  <c r="H170" i="1"/>
  <c r="H139" i="1"/>
  <c r="H147" i="1"/>
  <c r="H116" i="1"/>
  <c r="H110" i="1"/>
  <c r="H118" i="1"/>
  <c r="H126" i="1"/>
  <c r="H134" i="1"/>
  <c r="H142" i="1"/>
  <c r="H150" i="1"/>
  <c r="H158" i="1"/>
  <c r="H166" i="1"/>
  <c r="H128" i="1"/>
  <c r="H152" i="1"/>
  <c r="H168" i="1"/>
  <c r="H121" i="1"/>
  <c r="H153" i="1"/>
  <c r="H114" i="1"/>
  <c r="H162" i="1"/>
  <c r="H123" i="1"/>
  <c r="H163" i="1"/>
  <c r="H140" i="1"/>
  <c r="H164" i="1"/>
  <c r="H111" i="1"/>
  <c r="H119" i="1"/>
  <c r="H127" i="1"/>
  <c r="H135" i="1"/>
  <c r="H143" i="1"/>
  <c r="H151" i="1"/>
  <c r="H159" i="1"/>
  <c r="H136" i="1"/>
  <c r="H129" i="1"/>
  <c r="H145" i="1"/>
  <c r="H169" i="1"/>
  <c r="H122" i="1"/>
  <c r="H154" i="1"/>
  <c r="H131" i="1"/>
  <c r="H124" i="1"/>
  <c r="H156" i="1"/>
  <c r="H112" i="1"/>
  <c r="H138" i="1"/>
  <c r="H115" i="1"/>
  <c r="H155" i="1"/>
  <c r="H132" i="1"/>
  <c r="H148" i="1"/>
  <c r="H33" i="1"/>
  <c r="H41" i="1"/>
  <c r="H49" i="1"/>
  <c r="H57" i="1"/>
  <c r="H65" i="1"/>
  <c r="H73" i="1"/>
  <c r="H81" i="1"/>
  <c r="H89" i="1"/>
  <c r="H97" i="1"/>
  <c r="H105" i="1"/>
  <c r="H43" i="1"/>
  <c r="H51" i="1"/>
  <c r="H67" i="1"/>
  <c r="H83" i="1"/>
  <c r="H99" i="1"/>
  <c r="H36" i="1"/>
  <c r="H52" i="1"/>
  <c r="H68" i="1"/>
  <c r="H92" i="1"/>
  <c r="H108" i="1"/>
  <c r="H37" i="1"/>
  <c r="H61" i="1"/>
  <c r="H77" i="1"/>
  <c r="H93" i="1"/>
  <c r="H46" i="1"/>
  <c r="H54" i="1"/>
  <c r="H70" i="1"/>
  <c r="H86" i="1"/>
  <c r="H102" i="1"/>
  <c r="H47" i="1"/>
  <c r="H63" i="1"/>
  <c r="H71" i="1"/>
  <c r="H87" i="1"/>
  <c r="H103" i="1"/>
  <c r="H48" i="1"/>
  <c r="H64" i="1"/>
  <c r="H80" i="1"/>
  <c r="H96" i="1"/>
  <c r="H104" i="1"/>
  <c r="H34" i="1"/>
  <c r="H42" i="1"/>
  <c r="H50" i="1"/>
  <c r="H58" i="1"/>
  <c r="H66" i="1"/>
  <c r="H74" i="1"/>
  <c r="H82" i="1"/>
  <c r="H90" i="1"/>
  <c r="H98" i="1"/>
  <c r="H106" i="1"/>
  <c r="H35" i="1"/>
  <c r="H59" i="1"/>
  <c r="H75" i="1"/>
  <c r="H91" i="1"/>
  <c r="H107" i="1"/>
  <c r="H44" i="1"/>
  <c r="H60" i="1"/>
  <c r="H76" i="1"/>
  <c r="H84" i="1"/>
  <c r="H100" i="1"/>
  <c r="H45" i="1"/>
  <c r="H53" i="1"/>
  <c r="H69" i="1"/>
  <c r="H85" i="1"/>
  <c r="H101" i="1"/>
  <c r="H38" i="1"/>
  <c r="H62" i="1"/>
  <c r="H78" i="1"/>
  <c r="H94" i="1"/>
  <c r="H39" i="1"/>
  <c r="H55" i="1"/>
  <c r="H79" i="1"/>
  <c r="H95" i="1"/>
  <c r="H40" i="1"/>
  <c r="H56" i="1"/>
  <c r="H72" i="1"/>
  <c r="H88" i="1"/>
  <c r="H24" i="1"/>
  <c r="H32" i="1"/>
  <c r="H25" i="1"/>
  <c r="H26" i="1"/>
  <c r="H27" i="1"/>
  <c r="H30" i="1"/>
  <c r="H28" i="1"/>
  <c r="H29" i="1"/>
  <c r="H31" i="1"/>
  <c r="H10" i="1"/>
  <c r="H18" i="1"/>
  <c r="H11" i="1"/>
  <c r="H19" i="1"/>
  <c r="H22" i="1"/>
  <c r="H12" i="1"/>
  <c r="H20" i="1"/>
  <c r="H21" i="1"/>
  <c r="H13" i="1"/>
  <c r="H14" i="1"/>
  <c r="H15" i="1"/>
  <c r="H23" i="1"/>
  <c r="H16" i="1"/>
  <c r="H17" i="1"/>
  <c r="B1" i="1" l="1"/>
  <c r="A6" i="1" l="1"/>
  <c r="A415" i="1" l="1"/>
  <c r="H415" i="1" s="1"/>
  <c r="A416" i="1"/>
  <c r="H416" i="1" s="1"/>
  <c r="A417" i="1"/>
  <c r="H417" i="1" s="1"/>
  <c r="A418" i="1"/>
  <c r="H418" i="1" s="1"/>
  <c r="A419" i="1"/>
  <c r="H419" i="1" s="1"/>
  <c r="A421" i="1"/>
  <c r="H421" i="1" s="1"/>
  <c r="A422" i="1"/>
  <c r="H422" i="1" s="1"/>
  <c r="A423" i="1"/>
  <c r="H423" i="1" s="1"/>
  <c r="A424" i="1"/>
  <c r="H424" i="1" s="1"/>
  <c r="A425" i="1"/>
  <c r="H425" i="1" s="1"/>
  <c r="A426" i="1"/>
  <c r="H426" i="1" s="1"/>
  <c r="A427" i="1"/>
  <c r="H427" i="1" s="1"/>
  <c r="A428" i="1"/>
  <c r="H428" i="1" s="1"/>
  <c r="A429" i="1"/>
  <c r="H429" i="1" s="1"/>
  <c r="A430" i="1"/>
  <c r="H430" i="1" s="1"/>
  <c r="A312" i="1"/>
  <c r="A431" i="1"/>
  <c r="H431" i="1" s="1"/>
  <c r="A432" i="1"/>
  <c r="H432" i="1" s="1"/>
  <c r="A433" i="1"/>
  <c r="H433" i="1" s="1"/>
  <c r="A434" i="1"/>
  <c r="H434" i="1" s="1"/>
  <c r="A435" i="1"/>
  <c r="H435" i="1" s="1"/>
  <c r="A436" i="1"/>
  <c r="H436" i="1" s="1"/>
  <c r="A171" i="1"/>
  <c r="A313" i="1"/>
  <c r="A437" i="1"/>
  <c r="H437" i="1" s="1"/>
  <c r="A438" i="1"/>
  <c r="H438" i="1" s="1"/>
  <c r="A439" i="1"/>
  <c r="H439" i="1" s="1"/>
  <c r="A440" i="1"/>
  <c r="H440" i="1" s="1"/>
  <c r="A441" i="1"/>
  <c r="H441" i="1" s="1"/>
  <c r="A442" i="1"/>
  <c r="H442" i="1" s="1"/>
  <c r="A443" i="1"/>
  <c r="H443" i="1" s="1"/>
  <c r="A444" i="1"/>
  <c r="H444" i="1" s="1"/>
  <c r="A445" i="1"/>
  <c r="H445" i="1" s="1"/>
  <c r="A446" i="1"/>
  <c r="H446" i="1" s="1"/>
  <c r="A314" i="1"/>
  <c r="A315" i="1"/>
  <c r="A316" i="1"/>
  <c r="A317" i="1"/>
  <c r="A318" i="1"/>
  <c r="A447" i="1"/>
  <c r="H447" i="1" s="1"/>
  <c r="A172" i="1"/>
  <c r="A319" i="1"/>
  <c r="A320" i="1"/>
  <c r="A448" i="1"/>
  <c r="H448" i="1" s="1"/>
  <c r="A449" i="1"/>
  <c r="H449" i="1" s="1"/>
  <c r="A450" i="1"/>
  <c r="H450" i="1" s="1"/>
  <c r="A451" i="1"/>
  <c r="H451" i="1" s="1"/>
  <c r="A452" i="1"/>
  <c r="H452" i="1" s="1"/>
  <c r="A453" i="1"/>
  <c r="H453" i="1" s="1"/>
  <c r="A454" i="1"/>
  <c r="H454" i="1" s="1"/>
  <c r="A455" i="1"/>
  <c r="H455" i="1" s="1"/>
  <c r="A456" i="1"/>
  <c r="H456" i="1" s="1"/>
  <c r="A457" i="1"/>
  <c r="H457" i="1" s="1"/>
  <c r="A458" i="1"/>
  <c r="H458" i="1" s="1"/>
  <c r="A459" i="1"/>
  <c r="H459" i="1" s="1"/>
  <c r="A460" i="1"/>
  <c r="H460" i="1" s="1"/>
  <c r="A461" i="1"/>
  <c r="H461" i="1" s="1"/>
  <c r="A462" i="1"/>
  <c r="H462" i="1" s="1"/>
  <c r="A463" i="1"/>
  <c r="H463" i="1" s="1"/>
  <c r="A464" i="1"/>
  <c r="H464" i="1" s="1"/>
  <c r="A465" i="1"/>
  <c r="H465" i="1" s="1"/>
  <c r="A466" i="1"/>
  <c r="H466" i="1" s="1"/>
  <c r="A467" i="1"/>
  <c r="H467" i="1" s="1"/>
  <c r="A468" i="1"/>
  <c r="H468" i="1" s="1"/>
  <c r="A469" i="1"/>
  <c r="H469" i="1" s="1"/>
  <c r="A470" i="1"/>
  <c r="H470" i="1" s="1"/>
  <c r="A471" i="1"/>
  <c r="H471" i="1" s="1"/>
  <c r="A472" i="1"/>
  <c r="H472" i="1" s="1"/>
  <c r="A473" i="1"/>
  <c r="H473" i="1" s="1"/>
  <c r="A474" i="1"/>
  <c r="H474" i="1" s="1"/>
  <c r="A475" i="1"/>
  <c r="H475" i="1" s="1"/>
  <c r="A476" i="1"/>
  <c r="H476" i="1" s="1"/>
  <c r="A477" i="1"/>
  <c r="H477" i="1" s="1"/>
  <c r="A478" i="1"/>
  <c r="H478" i="1" s="1"/>
  <c r="A479" i="1"/>
  <c r="H479" i="1" s="1"/>
  <c r="A480" i="1"/>
  <c r="H480" i="1" s="1"/>
  <c r="A487" i="1"/>
  <c r="H487" i="1" s="1"/>
  <c r="A488" i="1"/>
  <c r="H488" i="1" s="1"/>
  <c r="A489" i="1"/>
  <c r="H489" i="1" s="1"/>
  <c r="A490" i="1"/>
  <c r="H490" i="1" s="1"/>
  <c r="A491" i="1"/>
  <c r="H491" i="1" s="1"/>
  <c r="A492" i="1"/>
  <c r="H492" i="1" s="1"/>
  <c r="A493" i="1"/>
  <c r="H493" i="1" s="1"/>
  <c r="A494" i="1"/>
  <c r="H494" i="1" s="1"/>
  <c r="A495" i="1"/>
  <c r="H495" i="1" s="1"/>
  <c r="A321" i="1"/>
  <c r="A322" i="1"/>
  <c r="A323" i="1"/>
  <c r="A324" i="1"/>
  <c r="A173" i="1"/>
  <c r="A325" i="1"/>
  <c r="A326" i="1"/>
  <c r="A327" i="1"/>
  <c r="A174" i="1"/>
  <c r="A328" i="1"/>
  <c r="A329" i="1"/>
  <c r="A330" i="1"/>
  <c r="A331" i="1"/>
  <c r="A332" i="1"/>
  <c r="A175" i="1"/>
  <c r="A176" i="1"/>
  <c r="A177" i="1"/>
  <c r="A9" i="1"/>
  <c r="A333" i="1"/>
  <c r="A178" i="1"/>
  <c r="A334" i="1"/>
  <c r="A335" i="1"/>
  <c r="A336" i="1"/>
  <c r="A337" i="1"/>
  <c r="A179" i="1"/>
  <c r="A180" i="1"/>
  <c r="A181" i="1"/>
  <c r="A338" i="1"/>
  <c r="A339" i="1"/>
  <c r="A182" i="1"/>
  <c r="A183" i="1"/>
  <c r="A184" i="1"/>
  <c r="A340" i="1"/>
  <c r="A185" i="1"/>
  <c r="A186" i="1"/>
  <c r="A187" i="1"/>
  <c r="A341" i="1"/>
  <c r="A342" i="1"/>
  <c r="A343" i="1"/>
  <c r="A344" i="1"/>
  <c r="A345" i="1"/>
  <c r="A346" i="1"/>
  <c r="A347" i="1"/>
  <c r="A348" i="1"/>
  <c r="A349" i="1"/>
  <c r="A350" i="1"/>
  <c r="A351" i="1"/>
  <c r="A188" i="1"/>
  <c r="A189" i="1"/>
  <c r="A190" i="1"/>
  <c r="A191" i="1"/>
  <c r="A310" i="1"/>
  <c r="A410" i="1"/>
  <c r="H410" i="1" s="1"/>
  <c r="A411" i="1"/>
  <c r="H411" i="1" s="1"/>
  <c r="A412" i="1"/>
  <c r="H412" i="1" s="1"/>
  <c r="A413" i="1"/>
  <c r="H413" i="1" s="1"/>
  <c r="A192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193" i="1"/>
  <c r="A194" i="1"/>
  <c r="A195" i="1"/>
  <c r="A196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197" i="1"/>
  <c r="A379" i="1"/>
  <c r="A10" i="1"/>
  <c r="A198" i="1"/>
  <c r="A199" i="1"/>
  <c r="A200" i="1"/>
  <c r="A201" i="1"/>
  <c r="A380" i="1"/>
  <c r="A202" i="1"/>
  <c r="A203" i="1"/>
  <c r="A381" i="1"/>
  <c r="A382" i="1"/>
  <c r="A383" i="1"/>
  <c r="A384" i="1"/>
  <c r="A385" i="1"/>
  <c r="A386" i="1"/>
  <c r="A387" i="1"/>
  <c r="A388" i="1"/>
  <c r="A389" i="1"/>
  <c r="A204" i="1"/>
  <c r="A205" i="1"/>
  <c r="A390" i="1"/>
  <c r="A391" i="1"/>
  <c r="A392" i="1"/>
  <c r="A393" i="1"/>
  <c r="A394" i="1"/>
  <c r="A395" i="1"/>
  <c r="A396" i="1"/>
  <c r="A397" i="1"/>
  <c r="A398" i="1"/>
  <c r="A399" i="1"/>
  <c r="A206" i="1"/>
  <c r="A400" i="1"/>
  <c r="A207" i="1"/>
  <c r="A208" i="1"/>
  <c r="A401" i="1"/>
  <c r="A402" i="1"/>
  <c r="A403" i="1"/>
  <c r="A404" i="1"/>
  <c r="A405" i="1"/>
  <c r="H405" i="1" s="1"/>
  <c r="A406" i="1"/>
  <c r="H406" i="1" s="1"/>
  <c r="A407" i="1"/>
  <c r="H407" i="1" s="1"/>
  <c r="A408" i="1"/>
  <c r="H408" i="1" s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11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12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09" i="1"/>
  <c r="H409" i="1" s="1"/>
  <c r="A311" i="1"/>
  <c r="A420" i="1"/>
  <c r="H420" i="1" s="1"/>
  <c r="A481" i="1"/>
  <c r="H481" i="1" s="1"/>
  <c r="A482" i="1"/>
  <c r="H482" i="1" s="1"/>
  <c r="A483" i="1"/>
  <c r="H483" i="1" s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484" i="1"/>
  <c r="H484" i="1" s="1"/>
  <c r="A485" i="1"/>
  <c r="H485" i="1" s="1"/>
  <c r="A486" i="1"/>
  <c r="H486" i="1" s="1"/>
  <c r="H403" i="1" l="1"/>
  <c r="H404" i="1"/>
  <c r="H401" i="1"/>
  <c r="H402" i="1"/>
  <c r="H308" i="1"/>
  <c r="H300" i="1"/>
  <c r="H292" i="1"/>
  <c r="H285" i="1"/>
  <c r="H277" i="1"/>
  <c r="H269" i="1"/>
  <c r="H261" i="1"/>
  <c r="H253" i="1"/>
  <c r="H245" i="1"/>
  <c r="H237" i="1"/>
  <c r="H229" i="1"/>
  <c r="H222" i="1"/>
  <c r="H214" i="1"/>
  <c r="H206" i="1"/>
  <c r="H392" i="1"/>
  <c r="H386" i="1"/>
  <c r="H380" i="1"/>
  <c r="H378" i="1"/>
  <c r="H370" i="1"/>
  <c r="H195" i="1"/>
  <c r="H358" i="1"/>
  <c r="H316" i="1"/>
  <c r="H400" i="1"/>
  <c r="H393" i="1"/>
  <c r="H387" i="1"/>
  <c r="H202" i="1"/>
  <c r="H197" i="1"/>
  <c r="H371" i="1"/>
  <c r="H196" i="1"/>
  <c r="H359" i="1"/>
  <c r="H192" i="1"/>
  <c r="H189" i="1"/>
  <c r="H345" i="1"/>
  <c r="H340" i="1"/>
  <c r="H179" i="1"/>
  <c r="H177" i="1"/>
  <c r="H174" i="1"/>
  <c r="H321" i="1"/>
  <c r="H307" i="1"/>
  <c r="H299" i="1"/>
  <c r="H291" i="1"/>
  <c r="H284" i="1"/>
  <c r="H276" i="1"/>
  <c r="H268" i="1"/>
  <c r="H260" i="1"/>
  <c r="H252" i="1"/>
  <c r="H244" i="1"/>
  <c r="H236" i="1"/>
  <c r="H228" i="1"/>
  <c r="H221" i="1"/>
  <c r="H213" i="1"/>
  <c r="H306" i="1"/>
  <c r="H298" i="1"/>
  <c r="H290" i="1"/>
  <c r="H283" i="1"/>
  <c r="H275" i="1"/>
  <c r="H267" i="1"/>
  <c r="H259" i="1"/>
  <c r="H251" i="1"/>
  <c r="H243" i="1"/>
  <c r="H235" i="1"/>
  <c r="H227" i="1"/>
  <c r="H220" i="1"/>
  <c r="H212" i="1"/>
  <c r="H315" i="1"/>
  <c r="H305" i="1"/>
  <c r="H297" i="1"/>
  <c r="H289" i="1"/>
  <c r="H282" i="1"/>
  <c r="H274" i="1"/>
  <c r="H266" i="1"/>
  <c r="H258" i="1"/>
  <c r="H250" i="1"/>
  <c r="H242" i="1"/>
  <c r="H234" i="1"/>
  <c r="H226" i="1"/>
  <c r="H219" i="1"/>
  <c r="H211" i="1"/>
  <c r="H350" i="1"/>
  <c r="H342" i="1"/>
  <c r="H182" i="1"/>
  <c r="H335" i="1"/>
  <c r="H332" i="1"/>
  <c r="H325" i="1"/>
  <c r="H320" i="1"/>
  <c r="H314" i="1"/>
  <c r="H398" i="1"/>
  <c r="H390" i="1"/>
  <c r="H384" i="1"/>
  <c r="H200" i="1"/>
  <c r="H376" i="1"/>
  <c r="H368" i="1"/>
  <c r="H193" i="1"/>
  <c r="H356" i="1"/>
  <c r="H319" i="1"/>
  <c r="H304" i="1"/>
  <c r="H296" i="1"/>
  <c r="H288" i="1"/>
  <c r="H281" i="1"/>
  <c r="H273" i="1"/>
  <c r="H265" i="1"/>
  <c r="H257" i="1"/>
  <c r="H249" i="1"/>
  <c r="H241" i="1"/>
  <c r="H233" i="1"/>
  <c r="H225" i="1"/>
  <c r="H218" i="1"/>
  <c r="H210" i="1"/>
  <c r="H349" i="1"/>
  <c r="H341" i="1"/>
  <c r="H339" i="1"/>
  <c r="H334" i="1"/>
  <c r="H331" i="1"/>
  <c r="H173" i="1"/>
  <c r="H303" i="1"/>
  <c r="H295" i="1"/>
  <c r="H287" i="1"/>
  <c r="H280" i="1"/>
  <c r="H272" i="1"/>
  <c r="H264" i="1"/>
  <c r="H256" i="1"/>
  <c r="H248" i="1"/>
  <c r="H240" i="1"/>
  <c r="H232" i="1"/>
  <c r="H217" i="1"/>
  <c r="H209" i="1"/>
  <c r="H396" i="1"/>
  <c r="H204" i="1"/>
  <c r="H382" i="1"/>
  <c r="H198" i="1"/>
  <c r="H374" i="1"/>
  <c r="H366" i="1"/>
  <c r="H362" i="1"/>
  <c r="H354" i="1"/>
  <c r="H310" i="1"/>
  <c r="H348" i="1"/>
  <c r="H187" i="1"/>
  <c r="H338" i="1"/>
  <c r="H178" i="1"/>
  <c r="H330" i="1"/>
  <c r="H324" i="1"/>
  <c r="H172" i="1"/>
  <c r="H317" i="1"/>
  <c r="H397" i="1"/>
  <c r="H205" i="1"/>
  <c r="H383" i="1"/>
  <c r="H199" i="1"/>
  <c r="H375" i="1"/>
  <c r="H367" i="1"/>
  <c r="H363" i="1"/>
  <c r="H355" i="1"/>
  <c r="H311" i="1"/>
  <c r="H302" i="1"/>
  <c r="H294" i="1"/>
  <c r="H286" i="1"/>
  <c r="H279" i="1"/>
  <c r="H271" i="1"/>
  <c r="H263" i="1"/>
  <c r="H255" i="1"/>
  <c r="H247" i="1"/>
  <c r="H239" i="1"/>
  <c r="H231" i="1"/>
  <c r="H224" i="1"/>
  <c r="H216" i="1"/>
  <c r="H208" i="1"/>
  <c r="H395" i="1"/>
  <c r="H389" i="1"/>
  <c r="H381" i="1"/>
  <c r="H373" i="1"/>
  <c r="H365" i="1"/>
  <c r="H361" i="1"/>
  <c r="H353" i="1"/>
  <c r="H191" i="1"/>
  <c r="H347" i="1"/>
  <c r="H186" i="1"/>
  <c r="H181" i="1"/>
  <c r="H333" i="1"/>
  <c r="H329" i="1"/>
  <c r="H323" i="1"/>
  <c r="H313" i="1"/>
  <c r="H312" i="1"/>
  <c r="H188" i="1"/>
  <c r="H344" i="1"/>
  <c r="H184" i="1"/>
  <c r="H337" i="1"/>
  <c r="H176" i="1"/>
  <c r="H327" i="1"/>
  <c r="H399" i="1"/>
  <c r="H391" i="1"/>
  <c r="H385" i="1"/>
  <c r="H201" i="1"/>
  <c r="H377" i="1"/>
  <c r="H369" i="1"/>
  <c r="H194" i="1"/>
  <c r="H357" i="1"/>
  <c r="H351" i="1"/>
  <c r="H343" i="1"/>
  <c r="H183" i="1"/>
  <c r="H336" i="1"/>
  <c r="H175" i="1"/>
  <c r="H326" i="1"/>
  <c r="H309" i="1"/>
  <c r="H301" i="1"/>
  <c r="H293" i="1"/>
  <c r="H278" i="1"/>
  <c r="H270" i="1"/>
  <c r="H262" i="1"/>
  <c r="H254" i="1"/>
  <c r="H246" i="1"/>
  <c r="H238" i="1"/>
  <c r="H230" i="1"/>
  <c r="H223" i="1"/>
  <c r="H215" i="1"/>
  <c r="H207" i="1"/>
  <c r="H394" i="1"/>
  <c r="H388" i="1"/>
  <c r="H203" i="1"/>
  <c r="H379" i="1"/>
  <c r="H372" i="1"/>
  <c r="H364" i="1"/>
  <c r="H360" i="1"/>
  <c r="H352" i="1"/>
  <c r="H190" i="1"/>
  <c r="H346" i="1"/>
  <c r="H185" i="1"/>
  <c r="H180" i="1"/>
  <c r="H328" i="1"/>
  <c r="H322" i="1"/>
  <c r="H318" i="1"/>
  <c r="H171" i="1"/>
  <c r="A414" i="1"/>
  <c r="H414" i="1" s="1"/>
  <c r="H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F1BD2A-F980-4DD3-A31D-F6CD83E0D14C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<sst xmlns="http://schemas.openxmlformats.org/spreadsheetml/2006/main" count="264" uniqueCount="139">
  <si>
    <t>TT</t>
  </si>
  <si>
    <t>Tên File</t>
  </si>
  <si>
    <t>Kích thước (kb)</t>
  </si>
  <si>
    <t>Loại File</t>
  </si>
  <si>
    <t>Ngày tạo File</t>
  </si>
  <si>
    <t>Click vào Link để mở File</t>
  </si>
  <si>
    <t xml:space="preserve">TỰ ĐỘNG TẠO LINK ĐẾN BẤT KỲ 1 THƯ MỤC </t>
  </si>
  <si>
    <t>Chrome PDF Document</t>
  </si>
  <si>
    <t>LinkFile.xlsm</t>
  </si>
  <si>
    <t>Microsoft Excel Macro-Enabled Worksheet</t>
  </si>
  <si>
    <t>~$LinkFile.xlsm</t>
  </si>
  <si>
    <t>110701-Luat04_2011_QH13_132449 -Luật đo lường.pdf</t>
  </si>
  <si>
    <t>121019-Nghi_dinh_86_2012_ND_CP - Hướng dẫn luật đo lường.pdf</t>
  </si>
  <si>
    <t>130629-23_2013_TT-BKHCN_210442.pdf</t>
  </si>
  <si>
    <t>130629-BKHCN-TT23 quy định về đo lường đối với phương tiện đo nhóm 2.pdf</t>
  </si>
  <si>
    <t>130930-Thong tu_24_2013_TT_BKHCN.pdf</t>
  </si>
  <si>
    <t>131021-Nghị định 137-2013.pdf</t>
  </si>
  <si>
    <t>151118-Thông tư 39-2015.pdf</t>
  </si>
  <si>
    <t>151201-Thông tư 42-2015.pdf</t>
  </si>
  <si>
    <t>180912-BCT-TT25 Sua Doi Gia ban Dien.pdf</t>
  </si>
  <si>
    <t>190726-Thông tư số 07-2019-TT-BKHCN ngày 26-07-2019.pdf</t>
  </si>
  <si>
    <t>191118-BCT-TT30-Sửa đổi TT 25-2016 và TT39-2015.pdf</t>
  </si>
  <si>
    <t>200303-NDCP-57-Quy dinh co che mua ban dien truc tiep cho khach hang lon.pdf</t>
  </si>
  <si>
    <t>200909-BCT-TT22-QD Ngung Giam CapDien.pdf</t>
  </si>
  <si>
    <t>200909-BCT-TT23-QD Phuong phap xac dinh chi phi Ngung Giam CapDien.pdf</t>
  </si>
  <si>
    <t>201113-QH14-68-Luat Cu Tru 01-07-2022.pdf</t>
  </si>
  <si>
    <t>220131-CP-ND17-Xu phat hanh chinh.pdf</t>
  </si>
  <si>
    <t>221230-BCT-TT39-Sửa đổi TT25-2016 TT39-2015 TT30-2019.pdf</t>
  </si>
  <si>
    <t>221230-Thông tư 42-2022.pdf</t>
  </si>
  <si>
    <t>230121-BCT-TT09 Sua doi quy dinh thuc hien gia ban dien.pdf</t>
  </si>
  <si>
    <t>231108-EVN-1416-QD-EVN ve viec dieu chinh muc gia ban le den binh quan.pdf</t>
  </si>
  <si>
    <t>240830-EVN-889-Quy dinh ve cac dich vu dien EVN.pdf</t>
  </si>
  <si>
    <t>241011-BCT-2699-Giá bán điện.pdf</t>
  </si>
  <si>
    <t>250208-NDCP-18-Hướng dẫn luật Điện lực.pdf</t>
  </si>
  <si>
    <t>250326-CDL-145-trien khai ND 57.pdf</t>
  </si>
  <si>
    <t>250912-EVN-5896- Triển khai Thông tư 46-2025-TT-BCT (12.9.2025)-phí đóng cắt điện.pdf</t>
  </si>
  <si>
    <t>250922-BCT-TT46-Sửa đổi, bổ sung chi phí ngừng cấp điện.pdf</t>
  </si>
  <si>
    <t>4221_EVN-KDMBĐ.zip</t>
  </si>
  <si>
    <t>ZIP File</t>
  </si>
  <si>
    <t>Bia1.pdf</t>
  </si>
  <si>
    <t>17_2022_ND-CP_502253.doc</t>
  </si>
  <si>
    <t>Microsoft Word 97 - 2003 Document</t>
  </si>
  <si>
    <t>68_2020_QH14_435315.doc</t>
  </si>
  <si>
    <t>luat_doluong_04.doc</t>
  </si>
  <si>
    <t>Thong tu 23_2013_TT_BKHCN.doc</t>
  </si>
  <si>
    <t>190912-SCT-Thông báo số 3303 ngày 12-9-2019-Kêt luận rà soát thủ tục liên thông cấp điện TA.pdf</t>
  </si>
  <si>
    <t>211201-UBND-QD-Cấp Giấy phép và quản lý công trình xây dựng.pdf</t>
  </si>
  <si>
    <t>220627-SXD-1800- TRẢ LỚI GIẤY PHÉP XD.pdf</t>
  </si>
  <si>
    <t>230410-SCT-1730-về việc cấp phép xây dựng.pdf</t>
  </si>
  <si>
    <t>230629-SCT4328-ApGiaSanXuatDoiVoiCacCoSoSanXuatNgoaiKhuCongNghiepCumCongNghiep.pdf</t>
  </si>
  <si>
    <t>231213-2370-QD-UBND- Quyet dinh phe duyet danh sach khach hang quan trong.pdf</t>
  </si>
  <si>
    <t>240422-UBND-1126-Quy trình một cửa liên thông.pdf</t>
  </si>
  <si>
    <t>241126-6802_SCT-KTQLNL.zip</t>
  </si>
  <si>
    <t>241126-UBND-3565QD-cong bo danh muc thu tuc hanh chinh quy trinh noi bo, dien tu trong linh vuc Dien luc.pdf</t>
  </si>
  <si>
    <t>220524-206UBND - UBND - Ket luan cuoc hop ra soat, kho khan, vuong mac DMTMN.pdf</t>
  </si>
  <si>
    <t>230222-1410-UBND- chỉ đạo các cơ quan ban nganh_DMTMN.pdf</t>
  </si>
  <si>
    <t>230421-1997- SCT - TB thao go kho khan bo sung ho so phap ly DMTMN.pdf</t>
  </si>
  <si>
    <t>231212-UBND-13420- xu ly ho so phap ly lien quan dat dai DMTMN.pdf</t>
  </si>
  <si>
    <t>210716-SCT-3733-hướng dẫn giải quyết vị trí cấp điện khách hàng.pdf</t>
  </si>
  <si>
    <t>240304-UBH-Khu vực chưa du dieu kien cap dien.pdf</t>
  </si>
  <si>
    <t>240403-PCDN-VB GUI SCT BC KHU VỰC KHÔNG ĐỦ DK CAP DIEN.pdf</t>
  </si>
  <si>
    <t>PHỤ LỤC-KHU VUC CHUA DU DK CAP DIEN 2024 - BC SCT.xlsx</t>
  </si>
  <si>
    <t>Microsoft Excel Worksheet</t>
  </si>
  <si>
    <t>50_2010_QH12_Quy định sử dụng năng lượng tiết kiệm  và hiệu quả.doc</t>
  </si>
  <si>
    <t>230608-CP-Chỉ thị 20-TTg (ngày 8-6-2023) Tăng cường tiết kiệm điện giai đoạn 2023-2025 và các năm tiếp theo.pdf</t>
  </si>
  <si>
    <t>230927-UBND-231-Tiết kiệm điện.pdf</t>
  </si>
  <si>
    <t>240201-UBND-45_KH-UBND- Tiêt kiệm điện.pdf</t>
  </si>
  <si>
    <t>240408-EVN-Chithi_ 1902 tang cuong DSM 2024_Ver4.pdf</t>
  </si>
  <si>
    <t>240426-PCDN-2684 -KH-PCND Chương trình DSM_TKD năm 2024_final_.pdf</t>
  </si>
  <si>
    <t>140529-BCT-TT16-QuyDinhThucHienGiaBanDien.pdf</t>
  </si>
  <si>
    <t>210122-BCT-06_2021_TT-BTC-Quản lý thuế.pdf</t>
  </si>
  <si>
    <t>250509-BCT-QD1279-Giá bán điện.pdf</t>
  </si>
  <si>
    <t>VB 6891_UBND kem QĐ 14_2025_QĐ-TTg.pdf</t>
  </si>
  <si>
    <t>211223-PCDNCV Ban hành Lịch ghi chỉ số công tơ năm 2022.pdf</t>
  </si>
  <si>
    <t>221227-PCDN-CV_8150_Ban hành Lịch ghi chỉ số công tơ khách hàng năm 2023.pdf</t>
  </si>
  <si>
    <t>230818-SCT-5276_Y kien doi voi phương án dời lịch ghi chỉ số điện 2023.pdf</t>
  </si>
  <si>
    <t>230908-PCDN-5351 - BC_doi lich GCS công tơ năm 2023_SCT_final.pdf</t>
  </si>
  <si>
    <t>231229-PCDN-Ban hành Lịch ghi chỉ số công tơ khách hàng năm 2024.pdf</t>
  </si>
  <si>
    <t>240716-PCDN-BC_UBND tỉnh phuong an dich chuyen GCS_về cuối tháng_Fn (4798 16.07.2024).pdf</t>
  </si>
  <si>
    <t>270_PCĐN-KD-bổ sung lịch ghi chỉ số công tơ trong tháng 01-2025.zip</t>
  </si>
  <si>
    <t>4898_PCĐN-KD-lịch ghi chỉ số công tơ khách hàng trong tháng 07-2024.zip</t>
  </si>
  <si>
    <t>FILE TONG HOP THAY DOI NGAY GCS.xlsx</t>
  </si>
  <si>
    <t>Lịch ghi chỉ số tháng 07.2024 (1).xlsx</t>
  </si>
  <si>
    <t>LỊCH GHI THÁNG 10.xlsx</t>
  </si>
  <si>
    <t>LỊCH GHI ĐIỆN THÁNG 11.2024.xlsx</t>
  </si>
  <si>
    <t>LỊCH GHI ĐIỆN.xlsx</t>
  </si>
  <si>
    <t>TỔNG HỢP LỊCH BỔ SUNG THÁNG 01.2024.xlsx</t>
  </si>
  <si>
    <t>Lịch ghi chỉ số tháng 01.2022.xlsx</t>
  </si>
  <si>
    <t>Lịch ghi chỉ số tháng 02.2022.xlsx</t>
  </si>
  <si>
    <t>Lịch ghi chỉ số tháng 03.2022.xlsx</t>
  </si>
  <si>
    <t>Lịch ghi chỉ số tháng 04.2022.xlsx</t>
  </si>
  <si>
    <t>Lịch ghi chỉ số tháng 05.2022.xlsx</t>
  </si>
  <si>
    <t>Lịch ghi chỉ số tháng 06.2022.xlsx</t>
  </si>
  <si>
    <t>Lịch ghi chỉ số tháng 07.2022.xlsx</t>
  </si>
  <si>
    <t>Lịch ghi chỉ số tháng 08.2022.xlsx</t>
  </si>
  <si>
    <t>Lịch ghi chỉ số tháng 09.2022.xlsx</t>
  </si>
  <si>
    <t>Lịch ghi chỉ số tháng 10.2022.xlsx</t>
  </si>
  <si>
    <t>Lịch ghi chỉ số tháng 11.2022.xlsx</t>
  </si>
  <si>
    <t>Lịch ghi chỉ số tháng 12.2022.xlsx</t>
  </si>
  <si>
    <t>Lịch ghi chỉ số tháng 01.2023.xlsx</t>
  </si>
  <si>
    <t>Lịch ghi chỉ số tháng 02.2023.xlsx</t>
  </si>
  <si>
    <t>Lịch ghi chỉ số tháng 03.2023.xlsx</t>
  </si>
  <si>
    <t>Lịch ghi chỉ số tháng 04.2023.xlsx</t>
  </si>
  <si>
    <t>Lịch ghi chỉ số tháng 05.2023.xlsx</t>
  </si>
  <si>
    <t>Lịch ghi chỉ số tháng 06.2023.xlsx</t>
  </si>
  <si>
    <t>Lịch ghi chỉ số tháng 07.2023.xlsx</t>
  </si>
  <si>
    <t>Lịch ghi chỉ số tháng 08.2023.xlsx</t>
  </si>
  <si>
    <t>Lịch ghi chỉ số tháng 09.2023.xlsx</t>
  </si>
  <si>
    <t>Lịch ghi chỉ số tháng 10.2023.xlsx</t>
  </si>
  <si>
    <t>Lịch ghi chỉ số tháng 11.2023.xlsx</t>
  </si>
  <si>
    <t>Lịch ghi chỉ số tháng 12.2023.xlsx</t>
  </si>
  <si>
    <t>3971_PCĐN-KD.zip</t>
  </si>
  <si>
    <t>Ban hành Lịch đổi ngày  ghi chỉ số công tơ khách hàng năm 2024 (Quý 3).pdf</t>
  </si>
  <si>
    <t>Ban hành Lịch đổi ngày  ghi chỉ số công tơ khách hàng Tháng 07.2024.pdf</t>
  </si>
  <si>
    <t>DLXL_Thông báo thay đổi lịch Ghi chỉ số điện.pdf</t>
  </si>
  <si>
    <t>Lịch ghi chỉ số tháng 01.2024.xlsx</t>
  </si>
  <si>
    <t>Lịch ghi chỉ số tháng 02.2024.xlsx</t>
  </si>
  <si>
    <t>Lịch ghi chỉ số tháng 03.2024.xlsx</t>
  </si>
  <si>
    <t>Lịch ghi chỉ số tháng 04.2024.xlsx</t>
  </si>
  <si>
    <t>Lịch ghi chỉ số tháng 05.2024.xlsx</t>
  </si>
  <si>
    <t>Lịch ghi chỉ số tháng 06.2024.xlsx</t>
  </si>
  <si>
    <t>DS các điểm có thu tiền điện trong tháng 5 -2024.xlsx</t>
  </si>
  <si>
    <t>PC Dong Nai_Danh sach dai ly_2024.05.14.pdf</t>
  </si>
  <si>
    <t>thông tin ngân hàng.xls</t>
  </si>
  <si>
    <t>Microsoft Excel 97-2003 Worksheet</t>
  </si>
  <si>
    <t>180627-UBND-2204-Thu tuc hanh chinh nganh dien.pdf</t>
  </si>
  <si>
    <t>210901-EVN-1199-Quy trinh kinh doanh.pdf</t>
  </si>
  <si>
    <t>230410-SCT-1730 cấp phép XD trung áp.pdf</t>
  </si>
  <si>
    <t>240201-UBND-KH Sử dụng điện tiết kiệm.pdf</t>
  </si>
  <si>
    <t>240426-SCT-Triển khai 1126.pdf</t>
  </si>
  <si>
    <t>240830-EVN-889-QĐ  Quy dinh ve cac dich vu dien EVN_2024_3.pdf</t>
  </si>
  <si>
    <t>241104-SCT-02-TB_Chấp thuận mẫu HĐ.pdf</t>
  </si>
  <si>
    <t>250627-530 UBCTQG_Thong bao so 530 chap thuan HDMBD SH theo mau cua EVNSPC (27-6-2025).pdf</t>
  </si>
  <si>
    <t>250909-SCT-2332-SoXD-QLHĐ-VLXD 10.09.25 (1).pdf</t>
  </si>
  <si>
    <t>241104-SCT-02 THÔNG BÁO CHẤP THUẬN MẪU HĐSH CỦA SCT.pdf</t>
  </si>
  <si>
    <t>241104-SCT-Mẫu HĐMBĐ SH_đã hoàn thành đăng ký SCT.pdf</t>
  </si>
  <si>
    <t>250709-PCĐN-KD-358-MauHopDongSinhHoat.zip</t>
  </si>
  <si>
    <t>EVN_VB 1342 cua EVN gui cac TCTDL tu soan mau HDMBD SH va NSH.pdf</t>
  </si>
  <si>
    <t>=HYPERLINK("B:\thuctd.github.io\NiemYet\LinkFile.xlsm";"Open File")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</si>
</sst>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9" x14ac:knownFonts="1">
    <font>
      <sz val="10"/>
      <name val="Arial"/>
    </font>
    <font>
      <sz val="8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2"/>
      <name val="Arial"/>
      <family val="2"/>
    </font>
    <font>
      <b/>
      <sz val="16"/>
      <color indexed="12"/>
      <name val="Arial"/>
      <family val="2"/>
    </font>
    <font>
      <sz val="10"/>
      <color rgb="FF0000CC"/>
      <name val="Arial"/>
      <family val="2"/>
    </font>
    <font>
      <sz val="12"/>
      <color theme="1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8" fillId="0" borderId="0"/>
  </cellStyleXfs>
  <cellXfs count="70">
    <xf numFmtId="0" fontId="0" fillId="0" borderId="0" xfId="0"/>
    <xf numFmtId="0" fontId="0" fillId="2" borderId="0" xfId="0" applyFill="1"/>
    <xf numFmtId="49" fontId="0" fillId="2" borderId="0" xfId="0" applyNumberFormat="1" applyFill="1"/>
    <xf numFmtId="49" fontId="0" fillId="2" borderId="1" xfId="0" applyNumberFormat="1" applyFill="1" applyBorder="1"/>
    <xf numFmtId="49" fontId="0" fillId="2" borderId="2" xfId="0" applyNumberFormat="1" applyFill="1" applyBorder="1"/>
    <xf numFmtId="49" fontId="3" fillId="2" borderId="1" xfId="0" applyNumberFormat="1" applyFont="1" applyFill="1" applyBorder="1"/>
    <xf numFmtId="0" fontId="4" fillId="2" borderId="0" xfId="0" applyFont="1" applyFill="1"/>
    <xf numFmtId="0" fontId="0" fillId="2" borderId="0" xfId="0" applyFill="1" applyAlignment="1">
      <alignment horizontal="center" vertical="center" wrapText="1"/>
    </xf>
    <xf numFmtId="49" fontId="0" fillId="3" borderId="3" xfId="0" applyNumberFormat="1" applyFill="1" applyBorder="1"/>
    <xf numFmtId="49" fontId="0" fillId="3" borderId="0" xfId="0" applyNumberFormat="1" applyFill="1"/>
    <xf numFmtId="49" fontId="0" fillId="3" borderId="4" xfId="0" applyNumberFormat="1" applyFill="1" applyBorder="1"/>
    <xf numFmtId="0" fontId="5" fillId="4" borderId="6" xfId="0" applyFont="1" applyFill="1" applyBorder="1" applyAlignment="1">
      <alignment horizontal="center" vertical="center" wrapText="1"/>
    </xf>
    <xf numFmtId="14" fontId="0" fillId="3" borderId="0" xfId="0" applyNumberFormat="1" applyFill="1" applyAlignment="1">
      <alignment horizontal="right"/>
    </xf>
    <xf numFmtId="14" fontId="0" fillId="3" borderId="4" xfId="0" applyNumberFormat="1" applyFill="1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2" borderId="2" xfId="0" applyNumberFormat="1" applyFill="1" applyBorder="1" applyAlignment="1">
      <alignment horizontal="center"/>
    </xf>
    <xf numFmtId="49" fontId="0" fillId="2" borderId="7" xfId="0" applyNumberFormat="1" applyFill="1" applyBorder="1"/>
    <xf numFmtId="0" fontId="5" fillId="4" borderId="8" xfId="0" applyFont="1" applyFill="1" applyBorder="1" applyAlignment="1">
      <alignment horizontal="center" vertical="center" wrapText="1"/>
    </xf>
    <xf numFmtId="164" fontId="0" fillId="2" borderId="7" xfId="0" applyNumberFormat="1" applyFill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 wrapText="1"/>
    </xf>
    <xf numFmtId="14" fontId="5" fillId="4" borderId="8" xfId="0" applyNumberFormat="1" applyFont="1" applyFill="1" applyBorder="1" applyAlignment="1">
      <alignment horizontal="center" vertical="center" wrapText="1"/>
    </xf>
    <xf numFmtId="0" fontId="5" fillId="4" borderId="9" xfId="0" applyFont="1" applyFill="1" applyBorder="1" applyAlignment="1">
      <alignment horizontal="center" vertical="center" wrapText="1"/>
    </xf>
    <xf numFmtId="0" fontId="5" fillId="4" borderId="10" xfId="0" applyFont="1" applyFill="1" applyBorder="1" applyAlignment="1">
      <alignment horizontal="center" vertical="center" wrapText="1"/>
    </xf>
    <xf numFmtId="14" fontId="0" fillId="2" borderId="0" xfId="0" applyNumberFormat="1" applyFill="1" applyAlignment="1">
      <alignment horizontal="right"/>
    </xf>
    <xf numFmtId="49" fontId="0" fillId="2" borderId="11" xfId="0" applyNumberFormat="1" applyFill="1" applyBorder="1"/>
    <xf numFmtId="164" fontId="0" fillId="2" borderId="11" xfId="0" applyNumberFormat="1" applyFill="1" applyBorder="1" applyAlignment="1">
      <alignment horizontal="center"/>
    </xf>
    <xf numFmtId="14" fontId="0" fillId="2" borderId="4" xfId="0" applyNumberFormat="1" applyFill="1" applyBorder="1" applyAlignment="1">
      <alignment horizontal="right"/>
    </xf>
    <xf numFmtId="0" fontId="0" fillId="2" borderId="0" xfId="0" applyFill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4" fillId="2" borderId="15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7" fillId="0" borderId="0" xfId="0" applyFont="1" applyAlignment="1">
      <alignment shrinkToFit="1"/>
    </xf>
    <xf numFmtId="0" fontId="0" fillId="2" borderId="14" xfId="0" applyFill="1" applyBorder="1" applyAlignment="1">
      <alignment horizontal="center"/>
    </xf>
    <xf numFmtId="0" fontId="0" fillId="5" borderId="0" xfId="0" applyFill="1"/>
    <xf numFmtId="0" fontId="3" fillId="5" borderId="0" xfId="0" quotePrefix="1" applyFont="1" applyFill="1"/>
    <xf numFmtId="14" fontId="2" fillId="2" borderId="1" xfId="1" applyNumberFormat="1" applyFill="1" applyBorder="1" applyAlignment="1" applyProtection="1">
      <alignment horizontal="right"/>
    </xf>
    <xf numFmtId="14" fontId="0" fillId="2" borderId="1" xfId="0" applyNumberFormat="1" applyFill="1" applyBorder="1"/>
    <xf numFmtId="14" fontId="0" fillId="2" borderId="0" xfId="0" applyNumberFormat="1" applyFill="1" applyAlignment="1">
      <alignment shrinkToFit="1"/>
    </xf>
    <xf numFmtId="14" fontId="0" fillId="2" borderId="5" xfId="0" applyNumberFormat="1" applyFill="1" applyBorder="1" applyAlignment="1">
      <alignment shrinkToFit="1"/>
    </xf>
    <xf numFmtId="14" fontId="7" fillId="0" borderId="0" xfId="0" applyNumberFormat="1" applyFont="1" applyAlignment="1">
      <alignment shrinkToFit="1"/>
    </xf>
    <xf numFmtId="0" fontId="0" fillId="2" borderId="0" xfId="0" applyFill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2" fillId="2" borderId="11" xfId="1" applyNumberFormat="1" applyFill="1" applyBorder="1" applyAlignment="1" applyProtection="1">
      <alignment horizontal="center" vertical="center"/>
    </xf>
    <xf numFmtId="0" fontId="2" fillId="2" borderId="22" xfId="1" applyNumberFormat="1" applyFill="1" applyBorder="1" applyAlignment="1" applyProtection="1">
      <alignment horizontal="center" vertical="center"/>
    </xf>
    <xf numFmtId="0" fontId="2" fillId="2" borderId="23" xfId="1" applyNumberFormat="1" applyFill="1" applyBorder="1" applyAlignment="1" applyProtection="1">
      <alignment horizontal="center" vertical="center"/>
    </xf>
    <xf numFmtId="49" fontId="0" fillId="2" borderId="18" xfId="0" applyNumberFormat="1" applyFill="1" applyBorder="1"/>
    <xf numFmtId="14" fontId="2" fillId="2" borderId="18" xfId="1" applyNumberFormat="1" applyFill="1" applyBorder="1" applyAlignment="1" applyProtection="1">
      <alignment horizontal="right"/>
    </xf>
    <xf numFmtId="14" fontId="0" fillId="2" borderId="7" xfId="0" applyNumberFormat="1" applyFill="1" applyBorder="1" applyAlignment="1">
      <alignment horizontal="right"/>
    </xf>
    <xf numFmtId="0" fontId="2" fillId="2" borderId="0" xfId="1" applyFill="1" applyAlignment="1" applyProtection="1">
      <alignment horizontal="center" vertical="center"/>
    </xf>
    <xf numFmtId="14" fontId="0" fillId="2" borderId="0" xfId="0" applyNumberFormat="1" applyFill="1"/>
    <xf numFmtId="14" fontId="2" fillId="2" borderId="0" xfId="1" applyNumberFormat="1" applyFill="1" applyBorder="1" applyAlignment="1" applyProtection="1">
      <alignment horizontal="right"/>
    </xf>
    <xf numFmtId="0" fontId="2" fillId="2" borderId="22" xfId="1" applyFill="1" applyBorder="1" applyAlignment="1" applyProtection="1">
      <alignment horizontal="center" vertical="center"/>
    </xf>
    <xf numFmtId="0" fontId="2" fillId="2" borderId="0" xfId="1" applyNumberFormat="1" applyFill="1" applyBorder="1" applyAlignment="1" applyProtection="1">
      <alignment horizontal="center" vertical="center"/>
    </xf>
    <xf numFmtId="0" fontId="2" fillId="2" borderId="11" xfId="1" applyFill="1" applyBorder="1" applyAlignment="1" applyProtection="1">
      <alignment horizontal="center" vertical="center"/>
    </xf>
    <xf numFmtId="0" fontId="2" fillId="2" borderId="0" xfId="1" applyFill="1" applyBorder="1" applyAlignment="1" applyProtection="1">
      <alignment horizontal="center" vertical="center"/>
    </xf>
    <xf numFmtId="14" fontId="0" fillId="2" borderId="2" xfId="0" applyNumberFormat="1" applyFill="1" applyBorder="1" applyAlignment="1">
      <alignment horizontal="right"/>
    </xf>
    <xf numFmtId="49" fontId="6" fillId="2" borderId="24" xfId="0" applyNumberFormat="1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 xr:uid="{0AECF687-A240-465E-8C21-4AB45A8057CA}"/>
  </cellStyles>
  <dxfs count="2"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99060</xdr:rowOff>
        </xdr:from>
        <xdr:to>
          <xdr:col>7</xdr:col>
          <xdr:colOff>4305300</xdr:colOff>
          <xdr:row>5</xdr:row>
          <xdr:rowOff>53340</xdr:rowOff>
        </xdr:to>
        <xdr:sp macro="" textlink="">
          <xdr:nvSpPr>
            <xdr:cNvPr id="1048" name="txtPath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1030605</xdr:colOff>
      <xdr:row>1</xdr:row>
      <xdr:rowOff>131445</xdr:rowOff>
    </xdr:from>
    <xdr:to>
      <xdr:col>3</xdr:col>
      <xdr:colOff>169045</xdr:colOff>
      <xdr:row>3</xdr:row>
      <xdr:rowOff>28690</xdr:rowOff>
    </xdr:to>
    <xdr:sp macro="[0]!ChonDia_Click" textlink="">
      <xdr:nvSpPr>
        <xdr:cNvPr id="1057" name="Rectangle 33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SpPr>
          <a:spLocks noChangeArrowheads="1"/>
        </xdr:cNvSpPr>
      </xdr:nvSpPr>
      <xdr:spPr bwMode="auto">
        <a:xfrm>
          <a:off x="1647825" y="266700"/>
          <a:ext cx="283845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vi-VN" sz="14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t>Tìm ổ dĩa và chọn thư mục </a:t>
          </a:r>
        </a:p>
      </xdr:txBody>
    </xdr:sp>
    <xdr:clientData/>
  </xdr:twoCellAnchor>
  <xdr:twoCellAnchor>
    <xdr:from>
      <xdr:col>1</xdr:col>
      <xdr:colOff>104775</xdr:colOff>
      <xdr:row>3</xdr:row>
      <xdr:rowOff>95250</xdr:rowOff>
    </xdr:from>
    <xdr:to>
      <xdr:col>2</xdr:col>
      <xdr:colOff>3149067</xdr:colOff>
      <xdr:row>5</xdr:row>
      <xdr:rowOff>28575</xdr:rowOff>
    </xdr:to>
    <xdr:sp macro="" textlink="">
      <xdr:nvSpPr>
        <xdr:cNvPr id="1058" name="Rectangle 34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SpPr>
          <a:spLocks noChangeArrowheads="1"/>
        </xdr:cNvSpPr>
      </xdr:nvSpPr>
      <xdr:spPr bwMode="auto">
        <a:xfrm>
          <a:off x="295275" y="571500"/>
          <a:ext cx="34099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vi-VN" sz="14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t>Hiện ổ dĩa và đường Link đến thư mục</a:t>
          </a:r>
        </a:p>
      </xdr:txBody>
    </xdr:sp>
    <xdr:clientData/>
  </xdr:twoCellAnchor>
  <xdr:twoCellAnchor>
    <xdr:from>
      <xdr:col>5</xdr:col>
      <xdr:colOff>45720</xdr:colOff>
      <xdr:row>1</xdr:row>
      <xdr:rowOff>110490</xdr:rowOff>
    </xdr:from>
    <xdr:to>
      <xdr:col>8</xdr:col>
      <xdr:colOff>224771</xdr:colOff>
      <xdr:row>3</xdr:row>
      <xdr:rowOff>15240</xdr:rowOff>
    </xdr:to>
    <xdr:sp macro="[0]!LayLink_Click" textlink="">
      <xdr:nvSpPr>
        <xdr:cNvPr id="1059" name="Rectangle 35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SpPr>
          <a:spLocks noChangeArrowheads="1"/>
        </xdr:cNvSpPr>
      </xdr:nvSpPr>
      <xdr:spPr bwMode="auto">
        <a:xfrm>
          <a:off x="5806440" y="247650"/>
          <a:ext cx="3051791" cy="2476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0000FF"/>
              </a:solidFill>
              <a:latin typeface="Times New Roman"/>
              <a:cs typeface="Times New Roman"/>
            </a:rPr>
            <a:t>Lấy Link và hiện tên File trong 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S878"/>
  <sheetViews>
    <sheetView tabSelected="1" topLeftCell="D1" zoomScaleNormal="100" workbookViewId="0">
      <pane ySplit="8" topLeftCell="A45" activePane="bottomLeft" state="frozen"/>
      <selection pane="bottomLeft" activeCell="H49" sqref="H49"/>
    </sheetView>
  </sheetViews>
  <sheetFormatPr defaultColWidth="21" defaultRowHeight="19.95" customHeight="1" outlineLevelCol="1" x14ac:dyDescent="0.25"/>
  <cols>
    <col min="1" max="1" width="23.44140625" style="1" customWidth="1"/>
    <col min="2" max="2" width="6.88671875" style="32" customWidth="1" outlineLevel="1"/>
    <col min="3" max="3" width="55.44140625" style="2" customWidth="1" outlineLevel="1"/>
    <col min="4" max="4" width="11" style="15" customWidth="1" outlineLevel="1"/>
    <col min="5" max="5" width="24.109375" style="2" customWidth="1" outlineLevel="1"/>
    <col min="6" max="6" width="13.44140625" style="28" customWidth="1" outlineLevel="1"/>
    <col min="7" max="7" width="16.6640625" style="49" customWidth="1"/>
    <col min="8" max="8" width="90.21875" customWidth="1" outlineLevel="1"/>
    <col min="9" max="9" width="18.33203125" style="1" customWidth="1"/>
    <col min="10" max="10" width="8.88671875" style="1" customWidth="1"/>
    <col min="11" max="16384" width="21" style="1"/>
  </cols>
  <sheetData>
    <row r="1" spans="1:175" ht="19.2" customHeight="1" thickBot="1" x14ac:dyDescent="0.3">
      <c r="B1" s="32">
        <f>COUNTA(B2:B1048576)-1</f>
        <v>128</v>
      </c>
      <c r="F1" s="31"/>
      <c r="H1" s="46"/>
    </row>
    <row r="2" spans="1:175" ht="13.8" thickTop="1" x14ac:dyDescent="0.25">
      <c r="B2" s="33"/>
      <c r="C2" s="8"/>
      <c r="D2" s="16"/>
      <c r="E2" s="8"/>
      <c r="F2" s="12"/>
      <c r="G2" s="50"/>
      <c r="H2" s="46"/>
    </row>
    <row r="3" spans="1:175" ht="13.2" x14ac:dyDescent="0.25">
      <c r="B3" s="34"/>
      <c r="C3" s="9"/>
      <c r="D3" s="17"/>
      <c r="E3" s="9"/>
      <c r="F3" s="12"/>
      <c r="G3" s="51"/>
      <c r="H3" s="46"/>
    </row>
    <row r="4" spans="1:175" ht="13.2" x14ac:dyDescent="0.25">
      <c r="B4" s="34"/>
      <c r="C4" s="9"/>
      <c r="D4" s="17"/>
      <c r="E4" s="9"/>
      <c r="F4" s="12"/>
      <c r="G4" s="52"/>
      <c r="H4" s="47"/>
    </row>
    <row r="5" spans="1:175" ht="13.2" x14ac:dyDescent="0.25">
      <c r="A5" s="42">
        <v>2025</v>
      </c>
      <c r="B5" s="34"/>
      <c r="C5" s="9"/>
      <c r="D5" s="17"/>
      <c r="E5" s="9"/>
      <c r="F5" s="12"/>
      <c r="G5" s="52"/>
      <c r="H5" s="47"/>
    </row>
    <row r="6" spans="1:175" ht="11.25" customHeight="1" thickBot="1" x14ac:dyDescent="0.3">
      <c r="A6" s="43" t="str">
        <f ca="1">TEXT(TODAY()-28,"MM")</f>
        <v>08</v>
      </c>
      <c r="B6" s="35"/>
      <c r="C6" s="10"/>
      <c r="D6" s="18"/>
      <c r="E6" s="10"/>
      <c r="F6" s="13"/>
      <c r="G6" s="53"/>
      <c r="H6" s="46"/>
    </row>
    <row r="7" spans="1:175" ht="34.5" customHeight="1" thickTop="1" thickBot="1" x14ac:dyDescent="0.3">
      <c r="C7" s="69" t="s">
        <v>6</v>
      </c>
      <c r="D7" s="69"/>
      <c r="E7" s="69"/>
      <c r="F7" s="69"/>
      <c r="G7" s="54"/>
      <c r="H7" s="46"/>
    </row>
    <row r="8" spans="1:175" s="7" customFormat="1" ht="35.4" customHeight="1" thickBot="1" x14ac:dyDescent="0.3">
      <c r="B8" s="11" t="s">
        <v>0</v>
      </c>
      <c r="C8" s="22" t="s">
        <v>1</v>
      </c>
      <c r="D8" s="24" t="s">
        <v>2</v>
      </c>
      <c r="E8" s="26" t="s">
        <v>3</v>
      </c>
      <c r="F8" s="25" t="s">
        <v>4</v>
      </c>
      <c r="G8" s="27" t="s">
        <v>5</v>
      </c>
      <c r="H8" s="48" t="e">
        <f>VLOOKUP(A8,#REF!,1,0)</f>
        <v>#REF!</v>
      </c>
    </row>
    <row r="9" spans="1:175" s="6" customFormat="1" ht="19.95" customHeight="1" thickBot="1" x14ac:dyDescent="0.3">
      <c r="A9" s="6" t="str">
        <f t="shared" ref="A9:A72" ca="1" si="0" xml:space="preserve"> $A$5&amp;$A$6&amp;SUBSTITUTE(C9,".pdf","")</f>
        <v>202508LinkFile.xlsm</v>
      </c>
      <c r="B9" s="41">
        <v>1</v>
      </c>
      <c r="C9" s="29" t="s">
        <v>8</v>
      </c>
      <c r="D9" s="30">
        <v>895</v>
      </c>
      <c r="E9" s="58" t="s">
        <v>9</v>
      </c>
      <c r="F9" s="59">
        <v>45755.369687500002</v>
      </c>
      <c r="G9" s="55" t="str">
        <f>HYPERLINK("B:\thuctd.github.io\NiemYet\LinkFile.xlsm","Open File")</f>
        <v>Open File</v>
      </c>
      <c r="H9" s="48" t="s">
        <v>138</v>
      </c>
      <c r="I9" s="1" t="str">
        <f>MID(H9,32,SEARCH("Open",H9,1))</f>
        <v>\NiemYet\LinkFile.xlsm";"Open File")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</row>
    <row r="10" spans="1:175" s="6" customFormat="1" ht="19.95" customHeight="1" thickBot="1" x14ac:dyDescent="0.3">
      <c r="A10" s="6" t="str">
        <f t="shared" ca="1" si="0"/>
        <v>202508~$LinkFile.xlsm</v>
      </c>
      <c r="B10" s="39">
        <v>2</v>
      </c>
      <c r="C10" s="21" t="s">
        <v>10</v>
      </c>
      <c r="D10" s="23">
        <v>0</v>
      </c>
      <c r="E10" s="21" t="s">
        <v>9</v>
      </c>
      <c r="F10" s="60">
        <v>45926.664652777778</v>
      </c>
      <c r="G10" s="55" t="str">
        <f>HYPERLINK("B:\thuctd.github.io\NiemYet\~$LinkFile.xlsm","Open File")</f>
        <v>Open File</v>
      </c>
      <c r="H10" s="48" t="str">
        <f t="shared" ref="H10:H73" ca="1" si="1">_xlfn.FORMULATEXT(G10)</f>
        <v>=HYPERLINK("B:\thuctd.github.io\NiemYet\~$LinkFile.xlsm";"Open File")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</row>
    <row r="11" spans="1:175" ht="19.95" customHeight="1" thickBot="1" x14ac:dyDescent="0.3">
      <c r="A11" s="6" t="str">
        <f t="shared" ca="1" si="0"/>
        <v>202508110701-Luat04_2011_QH13_132449 -Luật đo lường</v>
      </c>
      <c r="B11" s="41">
        <v>3</v>
      </c>
      <c r="C11" s="3" t="s">
        <v>11</v>
      </c>
      <c r="D11" s="19">
        <v>5814</v>
      </c>
      <c r="E11" s="3" t="s">
        <v>7</v>
      </c>
      <c r="F11" s="14">
        <v>45926.607141203705</v>
      </c>
      <c r="G11" s="55" t="str">
        <f>HYPERLINK("B:\thuctd.github.io\NiemYet\01-Bo-Nganh-Luat\110701-Luat04_2011_QH13_132449 -Luật đo lường.pdf","Open File")</f>
        <v>Open File</v>
      </c>
      <c r="H11" s="48" t="str">
        <f t="shared" ca="1" si="1"/>
        <v>=HYPERLINK("B:\thuctd.github.io\NiemYet\01-Bo-Nganh-Luat\110701-Luat04_2011_QH13_132449 -Luật đo lường.pdf";"Open File")</v>
      </c>
    </row>
    <row r="12" spans="1:175" ht="19.95" customHeight="1" thickBot="1" x14ac:dyDescent="0.3">
      <c r="A12" s="6" t="str">
        <f t="shared" ca="1" si="0"/>
        <v>202508121019-Nghi_dinh_86_2012_ND_CP - Hướng dẫn luật đo lường</v>
      </c>
      <c r="B12" s="39">
        <v>4</v>
      </c>
      <c r="C12" s="3" t="s">
        <v>12</v>
      </c>
      <c r="D12" s="19">
        <v>410</v>
      </c>
      <c r="E12" s="3" t="s">
        <v>7</v>
      </c>
      <c r="F12" s="14">
        <v>45926.607141203705</v>
      </c>
      <c r="G12" s="55" t="str">
        <f>HYPERLINK("B:\thuctd.github.io\NiemYet\01-Bo-Nganh-Luat\121019-Nghi_dinh_86_2012_ND_CP - Hướng dẫn luật đo lường.pdf","Open File")</f>
        <v>Open File</v>
      </c>
      <c r="H12" s="48" t="str">
        <f t="shared" ca="1" si="1"/>
        <v>=HYPERLINK("B:\thuctd.github.io\NiemYet\01-Bo-Nganh-Luat\121019-Nghi_dinh_86_2012_ND_CP - Hướng dẫn luật đo lường.pdf";"Open File")</v>
      </c>
    </row>
    <row r="13" spans="1:175" ht="19.95" customHeight="1" thickBot="1" x14ac:dyDescent="0.3">
      <c r="A13" s="6" t="str">
        <f t="shared" ca="1" si="0"/>
        <v>202508130629-23_2013_TT-BKHCN_210442</v>
      </c>
      <c r="B13" s="41">
        <v>5</v>
      </c>
      <c r="C13" s="3" t="s">
        <v>13</v>
      </c>
      <c r="D13" s="19">
        <v>3991</v>
      </c>
      <c r="E13" s="3" t="s">
        <v>7</v>
      </c>
      <c r="F13" s="14">
        <v>45926.607141203705</v>
      </c>
      <c r="G13" s="66" t="str">
        <f>HYPERLINK("B:\thuctd.github.io\NiemYet\01-Bo-Nganh-Luat\130629-23_2013_TT-BKHCN_210442.pdf","Open File")</f>
        <v>Open File</v>
      </c>
      <c r="H13" s="48" t="str">
        <f t="shared" ca="1" si="1"/>
        <v>=HYPERLINK("B:\thuctd.github.io\NiemYet\01-Bo-Nganh-Luat\130629-23_2013_TT-BKHCN_210442.pdf";"Open File")</v>
      </c>
    </row>
    <row r="14" spans="1:175" ht="19.95" customHeight="1" thickBot="1" x14ac:dyDescent="0.3">
      <c r="A14" s="6" t="str">
        <f t="shared" ca="1" si="0"/>
        <v>202508130629-BKHCN-TT23 quy định về đo lường đối với phương tiện đo nhóm 2</v>
      </c>
      <c r="B14" s="39">
        <v>6</v>
      </c>
      <c r="C14" s="3" t="s">
        <v>14</v>
      </c>
      <c r="D14" s="19">
        <v>3991</v>
      </c>
      <c r="E14" s="3" t="s">
        <v>7</v>
      </c>
      <c r="F14" s="14">
        <v>45926.607141203705</v>
      </c>
      <c r="G14" s="66" t="str">
        <f>HYPERLINK("B:\thuctd.github.io\NiemYet\01-Bo-Nganh-Luat\130629-BKHCN-TT23 quy định về đo lường đối với phương tiện đo nhóm 2.pdf","Open File")</f>
        <v>Open File</v>
      </c>
      <c r="H14" s="48" t="str">
        <f t="shared" ca="1" si="1"/>
        <v>=HYPERLINK("B:\thuctd.github.io\NiemYet\01-Bo-Nganh-Luat\130629-BKHCN-TT23 quy định về đo lường đối với phương tiện đo nhóm 2.pdf";"Open File")</v>
      </c>
    </row>
    <row r="15" spans="1:175" ht="19.95" customHeight="1" thickBot="1" x14ac:dyDescent="0.3">
      <c r="A15" s="6" t="str">
        <f t="shared" ca="1" si="0"/>
        <v>202508130930-Thong tu_24_2013_TT_BKHCN</v>
      </c>
      <c r="B15" s="41">
        <v>7</v>
      </c>
      <c r="C15" s="3" t="s">
        <v>15</v>
      </c>
      <c r="D15" s="19">
        <v>1202</v>
      </c>
      <c r="E15" s="45" t="s">
        <v>7</v>
      </c>
      <c r="F15" s="14">
        <v>45926.607152777775</v>
      </c>
      <c r="G15" s="55" t="str">
        <f>HYPERLINK("B:\thuctd.github.io\NiemYet\01-Bo-Nganh-Luat\130930-Thong tu_24_2013_TT_BKHCN.pdf","Open File")</f>
        <v>Open File</v>
      </c>
      <c r="H15" s="48" t="str">
        <f t="shared" ca="1" si="1"/>
        <v>=HYPERLINK("B:\thuctd.github.io\NiemYet\01-Bo-Nganh-Luat\130930-Thong tu_24_2013_TT_BKHCN.pdf";"Open File")</v>
      </c>
    </row>
    <row r="16" spans="1:175" ht="19.95" customHeight="1" thickBot="1" x14ac:dyDescent="0.3">
      <c r="A16" s="6" t="str">
        <f t="shared" ca="1" si="0"/>
        <v>202508131021-Nghị định 137-2013</v>
      </c>
      <c r="B16" s="39">
        <v>8</v>
      </c>
      <c r="C16" s="3" t="s">
        <v>16</v>
      </c>
      <c r="D16" s="19">
        <v>1082</v>
      </c>
      <c r="E16" s="3" t="s">
        <v>7</v>
      </c>
      <c r="F16" s="14">
        <v>45926.607152777775</v>
      </c>
      <c r="G16" s="66" t="str">
        <f>HYPERLINK("B:\thuctd.github.io\NiemYet\01-Bo-Nganh-Luat\131021-Nghị định 137-2013.pdf","Open File")</f>
        <v>Open File</v>
      </c>
      <c r="H16" s="48" t="str">
        <f t="shared" ca="1" si="1"/>
        <v>=HYPERLINK("B:\thuctd.github.io\NiemYet\01-Bo-Nganh-Luat\131021-Nghị định 137-2013.pdf";"Open File")</v>
      </c>
    </row>
    <row r="17" spans="1:175" ht="19.95" customHeight="1" thickBot="1" x14ac:dyDescent="0.3">
      <c r="A17" s="6" t="str">
        <f t="shared" ca="1" si="0"/>
        <v>202508140529-BCT-TT16-QuyDinhThucHienGiaBanDien</v>
      </c>
      <c r="B17" s="41">
        <v>9</v>
      </c>
      <c r="C17" s="3" t="s">
        <v>69</v>
      </c>
      <c r="D17" s="19">
        <v>3877</v>
      </c>
      <c r="E17" s="3" t="s">
        <v>7</v>
      </c>
      <c r="F17" s="14">
        <v>45245.371979166666</v>
      </c>
      <c r="G17" s="66" t="str">
        <f>HYPERLINK("B:\thuctd.github.io\NiemYet\07-GiaDien\140529-BCT-TT16-QuyDinhThucHienGiaBanDien.pdf","Open File")</f>
        <v>Open File</v>
      </c>
      <c r="H17" s="48" t="str">
        <f t="shared" ca="1" si="1"/>
        <v>=HYPERLINK("B:\thuctd.github.io\NiemYet\07-GiaDien\140529-BCT-TT16-QuyDinhThucHienGiaBanDien.pdf";"Open File")</v>
      </c>
    </row>
    <row r="18" spans="1:175" ht="19.95" customHeight="1" thickBot="1" x14ac:dyDescent="0.3">
      <c r="A18" s="6" t="str">
        <f t="shared" ca="1" si="0"/>
        <v>202508151118-Thông tư 39-2015</v>
      </c>
      <c r="B18" s="39">
        <v>10</v>
      </c>
      <c r="C18" s="3" t="s">
        <v>17</v>
      </c>
      <c r="D18" s="19">
        <v>3473</v>
      </c>
      <c r="E18" s="3" t="s">
        <v>7</v>
      </c>
      <c r="F18" s="14">
        <v>45926.607152777775</v>
      </c>
      <c r="G18" s="66" t="str">
        <f>HYPERLINK("B:\thuctd.github.io\NiemYet\01-Bo-Nganh-Luat\151118-Thông tư 39-2015.pdf","Open File")</f>
        <v>Open File</v>
      </c>
      <c r="H18" s="48" t="str">
        <f t="shared" ca="1" si="1"/>
        <v>=HYPERLINK("B:\thuctd.github.io\NiemYet\01-Bo-Nganh-Luat\151118-Thông tư 39-2015.pdf";"Open File")</v>
      </c>
    </row>
    <row r="19" spans="1:175" s="6" customFormat="1" ht="19.95" customHeight="1" thickBot="1" x14ac:dyDescent="0.3">
      <c r="A19" s="6" t="str">
        <f t="shared" ca="1" si="0"/>
        <v>202508151201-Thông tư 42-2015</v>
      </c>
      <c r="B19" s="41">
        <v>11</v>
      </c>
      <c r="C19" s="3" t="s">
        <v>18</v>
      </c>
      <c r="D19" s="19">
        <v>2764</v>
      </c>
      <c r="E19" s="3" t="s">
        <v>7</v>
      </c>
      <c r="F19" s="44">
        <v>45926.607164351852</v>
      </c>
      <c r="G19" s="55" t="str">
        <f>HYPERLINK("B:\thuctd.github.io\NiemYet\01-Bo-Nganh-Luat\151201-Thông tư 42-2015.pdf","Open File")</f>
        <v>Open File</v>
      </c>
      <c r="H19" s="48" t="str">
        <f t="shared" ca="1" si="1"/>
        <v>=HYPERLINK("B:\thuctd.github.io\NiemYet\01-Bo-Nganh-Luat\151201-Thông tư 42-2015.pdf";"Open File")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</row>
    <row r="20" spans="1:175" ht="19.95" customHeight="1" thickBot="1" x14ac:dyDescent="0.3">
      <c r="A20" s="6" t="str">
        <f t="shared" ca="1" si="0"/>
        <v>20250817_2022_ND-CP_502253.doc</v>
      </c>
      <c r="B20" s="39">
        <v>12</v>
      </c>
      <c r="C20" s="3" t="s">
        <v>40</v>
      </c>
      <c r="D20" s="19">
        <v>608</v>
      </c>
      <c r="E20" s="3" t="s">
        <v>41</v>
      </c>
      <c r="F20" s="14">
        <v>45926.607175925928</v>
      </c>
      <c r="G20" s="55" t="str">
        <f>HYPERLINK("B:\thuctd.github.io\NiemYet\01-Bo-Nganh-Luat\Word\17_2022_ND-CP_502253.doc","Open File")</f>
        <v>Open File</v>
      </c>
      <c r="H20" s="48" t="str">
        <f t="shared" ca="1" si="1"/>
        <v>=HYPERLINK("B:\thuctd.github.io\NiemYet\01-Bo-Nganh-Luat\Word\17_2022_ND-CP_502253.doc";"Open File")</v>
      </c>
    </row>
    <row r="21" spans="1:175" ht="19.95" customHeight="1" x14ac:dyDescent="0.25">
      <c r="A21" s="6" t="str">
        <f t="shared" ca="1" si="0"/>
        <v>202508180627-UBND-2204-Thu tuc hanh chinh nganh dien</v>
      </c>
      <c r="B21" s="41">
        <v>13</v>
      </c>
      <c r="C21" s="3" t="s">
        <v>125</v>
      </c>
      <c r="D21" s="19">
        <v>2565</v>
      </c>
      <c r="E21" s="3" t="s">
        <v>7</v>
      </c>
      <c r="F21" s="14">
        <v>45619.482627314814</v>
      </c>
      <c r="G21" s="66" t="str">
        <f>HYPERLINK("B:\thuctd.github.io\NiemYet\10-ThuTucCapDien\180627-UBND-2204-Thu tuc hanh chinh nganh dien.pdf","Open File")</f>
        <v>Open File</v>
      </c>
      <c r="H21" s="48" t="str">
        <f t="shared" ca="1" si="1"/>
        <v>=HYPERLINK("B:\thuctd.github.io\NiemYet\10-ThuTucCapDien\180627-UBND-2204-Thu tuc hanh chinh nganh dien.pdf";"Open File")</v>
      </c>
    </row>
    <row r="22" spans="1:175" ht="19.95" customHeight="1" x14ac:dyDescent="0.25">
      <c r="A22" s="6" t="str">
        <f t="shared" ca="1" si="0"/>
        <v>202508180912-BCT-TT25 Sua Doi Gia ban Dien</v>
      </c>
      <c r="B22" s="36">
        <v>14</v>
      </c>
      <c r="C22" s="3" t="s">
        <v>19</v>
      </c>
      <c r="D22" s="19">
        <v>149</v>
      </c>
      <c r="E22" s="3" t="s">
        <v>7</v>
      </c>
      <c r="F22" s="14">
        <v>45926.607164351852</v>
      </c>
      <c r="G22" s="56" t="str">
        <f>HYPERLINK("B:\thuctd.github.io\NiemYet\01-Bo-Nganh-Luat\180912-BCT-TT25 Sua Doi Gia ban Dien.pdf","Open File")</f>
        <v>Open File</v>
      </c>
      <c r="H22" s="48" t="str">
        <f t="shared" ca="1" si="1"/>
        <v>=HYPERLINK("B:\thuctd.github.io\NiemYet\01-Bo-Nganh-Luat\180912-BCT-TT25 Sua Doi Gia ban Dien.pdf";"Open File")</v>
      </c>
    </row>
    <row r="23" spans="1:175" ht="19.95" customHeight="1" x14ac:dyDescent="0.25">
      <c r="A23" s="6" t="str">
        <f t="shared" ca="1" si="0"/>
        <v>202508190726-Thông tư số 07-2019-TT-BKHCN ngày 26-07-2019</v>
      </c>
      <c r="B23" s="36">
        <v>15</v>
      </c>
      <c r="C23" s="3" t="s">
        <v>20</v>
      </c>
      <c r="D23" s="19">
        <v>486</v>
      </c>
      <c r="E23" s="3" t="s">
        <v>7</v>
      </c>
      <c r="F23" s="14">
        <v>45926.607164351852</v>
      </c>
      <c r="G23" s="56" t="str">
        <f>HYPERLINK("B:\thuctd.github.io\NiemYet\01-Bo-Nganh-Luat\190726-Thông tư số 07-2019-TT-BKHCN ngày 26-07-2019.pdf","Open File")</f>
        <v>Open File</v>
      </c>
      <c r="H23" s="48" t="str">
        <f t="shared" ca="1" si="1"/>
        <v>=HYPERLINK("B:\thuctd.github.io\NiemYet\01-Bo-Nganh-Luat\190726-Thông tư số 07-2019-TT-BKHCN ngày 26-07-2019.pdf";"Open File")</v>
      </c>
    </row>
    <row r="24" spans="1:175" ht="19.95" customHeight="1" x14ac:dyDescent="0.25">
      <c r="A24" s="6" t="str">
        <f t="shared" ca="1" si="0"/>
        <v>202508190912-SCT-Thông báo số 3303 ngày 12-9-2019-Kêt luận rà soát thủ tục liên thông cấp điện TA</v>
      </c>
      <c r="B24" s="36">
        <v>16</v>
      </c>
      <c r="C24" s="3" t="s">
        <v>45</v>
      </c>
      <c r="D24" s="19">
        <v>1042</v>
      </c>
      <c r="E24" s="3" t="s">
        <v>7</v>
      </c>
      <c r="F24" s="14">
        <v>45574.387557870374</v>
      </c>
      <c r="G24" s="56" t="str">
        <f>HYPERLINK("B:\thuctd.github.io\NiemYet\02-UBNDTinh\190912-SCT-Thông báo số 3303 ngày 12-9-2019-Kêt luận rà soát thủ tục liên thông cấp điện TA.pdf","Open File")</f>
        <v>Open File</v>
      </c>
      <c r="H24" s="48" t="str">
        <f t="shared" ca="1" si="1"/>
        <v>=HYPERLINK("B:\thuctd.github.io\NiemYet\02-UBNDTinh\190912-SCT-Thông báo số 3303 ngày 12-9-2019-Kêt luận rà soát thủ tục liên thông cấp điện TA.pdf";"Open File")</v>
      </c>
    </row>
    <row r="25" spans="1:175" ht="19.95" customHeight="1" x14ac:dyDescent="0.25">
      <c r="A25" s="6" t="str">
        <f t="shared" ca="1" si="0"/>
        <v>202508191118-BCT-TT30-Sửa đổi TT 25-2016 và TT39-2015</v>
      </c>
      <c r="B25" s="36">
        <v>17</v>
      </c>
      <c r="C25" s="3" t="s">
        <v>21</v>
      </c>
      <c r="D25" s="19">
        <v>5250</v>
      </c>
      <c r="E25" s="3" t="s">
        <v>7</v>
      </c>
      <c r="F25" s="14">
        <v>45926.607175925928</v>
      </c>
      <c r="G25" s="56" t="str">
        <f>HYPERLINK("B:\thuctd.github.io\NiemYet\01-Bo-Nganh-Luat\191118-BCT-TT30-Sửa đổi TT 25-2016 và TT39-2015.pdf","Open File")</f>
        <v>Open File</v>
      </c>
      <c r="H25" s="48" t="str">
        <f t="shared" ca="1" si="1"/>
        <v>=HYPERLINK("B:\thuctd.github.io\NiemYet\01-Bo-Nganh-Luat\191118-BCT-TT30-Sửa đổi TT 25-2016 và TT39-2015.pdf";"Open File")</v>
      </c>
    </row>
    <row r="26" spans="1:175" ht="19.95" customHeight="1" x14ac:dyDescent="0.25">
      <c r="A26" s="6" t="str">
        <f t="shared" ca="1" si="0"/>
        <v>202508200303-NDCP-57-Quy dinh co che mua ban dien truc tiep cho khach hang lon</v>
      </c>
      <c r="B26" s="36">
        <v>18</v>
      </c>
      <c r="C26" s="3" t="s">
        <v>22</v>
      </c>
      <c r="D26" s="19">
        <v>19298</v>
      </c>
      <c r="E26" s="3" t="s">
        <v>7</v>
      </c>
      <c r="F26" s="14">
        <v>45926.607175925928</v>
      </c>
      <c r="G26" s="64" t="str">
        <f>HYPERLINK("B:\thuctd.github.io\NiemYet\01-Bo-Nganh-Luat\200303-NDCP-57-Quy dinh co che mua ban dien truc tiep cho khach hang lon.pdf","Open File")</f>
        <v>Open File</v>
      </c>
      <c r="H26" s="48" t="str">
        <f t="shared" ca="1" si="1"/>
        <v>=HYPERLINK("B:\thuctd.github.io\NiemYet\01-Bo-Nganh-Luat\200303-NDCP-57-Quy dinh co che mua ban dien truc tiep cho khach hang lon.pdf";"Open File")</v>
      </c>
    </row>
    <row r="27" spans="1:175" ht="19.95" customHeight="1" x14ac:dyDescent="0.25">
      <c r="A27" s="6" t="str">
        <f t="shared" ca="1" si="0"/>
        <v>202508200909-BCT-TT22-QD Ngung Giam CapDien</v>
      </c>
      <c r="B27" s="36">
        <v>19</v>
      </c>
      <c r="C27" s="3" t="s">
        <v>23</v>
      </c>
      <c r="D27" s="19">
        <v>2403</v>
      </c>
      <c r="E27" s="3" t="s">
        <v>7</v>
      </c>
      <c r="F27" s="14">
        <v>45926.607175925928</v>
      </c>
      <c r="G27" s="56" t="str">
        <f>HYPERLINK("B:\thuctd.github.io\NiemYet\01-Bo-Nganh-Luat\200909-BCT-TT22-QD Ngung Giam CapDien.pdf","Open File")</f>
        <v>Open File</v>
      </c>
      <c r="H27" s="48" t="str">
        <f t="shared" ca="1" si="1"/>
        <v>=HYPERLINK("B:\thuctd.github.io\NiemYet\01-Bo-Nganh-Luat\200909-BCT-TT22-QD Ngung Giam CapDien.pdf";"Open File")</v>
      </c>
    </row>
    <row r="28" spans="1:175" ht="19.95" customHeight="1" x14ac:dyDescent="0.25">
      <c r="A28" s="6" t="str">
        <f t="shared" ca="1" si="0"/>
        <v>202508200909-BCT-TT23-QD Phuong phap xac dinh chi phi Ngung Giam CapDien</v>
      </c>
      <c r="B28" s="36">
        <v>20</v>
      </c>
      <c r="C28" s="3" t="s">
        <v>24</v>
      </c>
      <c r="D28" s="19">
        <v>456</v>
      </c>
      <c r="E28" s="3" t="s">
        <v>7</v>
      </c>
      <c r="F28" s="14">
        <v>45926.607175925928</v>
      </c>
      <c r="G28" s="56" t="str">
        <f>HYPERLINK("B:\thuctd.github.io\NiemYet\01-Bo-Nganh-Luat\200909-BCT-TT23-QD Phuong phap xac dinh chi phi Ngung Giam CapDien.pdf","Open File")</f>
        <v>Open File</v>
      </c>
      <c r="H28" s="48" t="str">
        <f t="shared" ca="1" si="1"/>
        <v>=HYPERLINK("B:\thuctd.github.io\NiemYet\01-Bo-Nganh-Luat\200909-BCT-TT23-QD Phuong phap xac dinh chi phi Ngung Giam CapDien.pdf";"Open File")</v>
      </c>
    </row>
    <row r="29" spans="1:175" ht="19.95" customHeight="1" x14ac:dyDescent="0.25">
      <c r="A29" s="6" t="str">
        <f t="shared" ca="1" si="0"/>
        <v>202508201113-QH14-68-Luat Cu Tru 01-07-2022</v>
      </c>
      <c r="B29" s="36">
        <v>21</v>
      </c>
      <c r="C29" s="3" t="s">
        <v>25</v>
      </c>
      <c r="D29" s="19">
        <v>5190</v>
      </c>
      <c r="E29" s="3" t="s">
        <v>7</v>
      </c>
      <c r="F29" s="44">
        <v>45926.607175925928</v>
      </c>
      <c r="G29" s="56" t="str">
        <f>HYPERLINK("B:\thuctd.github.io\NiemYet\01-Bo-Nganh-Luat\201113-QH14-68-Luat Cu Tru 01-07-2022.pdf","Open File")</f>
        <v>Open File</v>
      </c>
      <c r="H29" s="48" t="str">
        <f t="shared" ca="1" si="1"/>
        <v>=HYPERLINK("B:\thuctd.github.io\NiemYet\01-Bo-Nganh-Luat\201113-QH14-68-Luat Cu Tru 01-07-2022.pdf";"Open File")</v>
      </c>
    </row>
    <row r="30" spans="1:175" ht="19.95" customHeight="1" x14ac:dyDescent="0.25">
      <c r="A30" s="6" t="str">
        <f t="shared" ca="1" si="0"/>
        <v>202508210122-BCT-06_2021_TT-BTC-Quản lý thuế</v>
      </c>
      <c r="B30" s="36">
        <v>22</v>
      </c>
      <c r="C30" s="3" t="s">
        <v>70</v>
      </c>
      <c r="D30" s="19">
        <v>9232</v>
      </c>
      <c r="E30" s="3" t="s">
        <v>7</v>
      </c>
      <c r="F30" s="14">
        <v>45621.678761574076</v>
      </c>
      <c r="G30" s="64" t="str">
        <f>HYPERLINK("B:\thuctd.github.io\NiemYet\07-GiaDien\210122-BCT-06_2021_TT-BTC-Quản lý thuế.pdf","Open File")</f>
        <v>Open File</v>
      </c>
      <c r="H30" s="48" t="str">
        <f t="shared" ca="1" si="1"/>
        <v>=HYPERLINK("B:\thuctd.github.io\NiemYet\07-GiaDien\210122-BCT-06_2021_TT-BTC-Quản lý thuế.pdf";"Open File")</v>
      </c>
    </row>
    <row r="31" spans="1:175" ht="19.95" customHeight="1" x14ac:dyDescent="0.25">
      <c r="A31" s="6" t="str">
        <f t="shared" ca="1" si="0"/>
        <v>202508210716-SCT-3733-hướng dẫn giải quyết vị trí cấp điện khách hàng</v>
      </c>
      <c r="B31" s="36">
        <v>23</v>
      </c>
      <c r="C31" s="3" t="s">
        <v>58</v>
      </c>
      <c r="D31" s="19">
        <v>809</v>
      </c>
      <c r="E31" s="45" t="s">
        <v>7</v>
      </c>
      <c r="F31" s="14">
        <v>44396.445381944446</v>
      </c>
      <c r="G31" s="56" t="str">
        <f>HYPERLINK("B:\thuctd.github.io\NiemYet\04-KhuVucCapDien\210716-SCT-3733-hướng dẫn giải quyết vị trí cấp điện khách hàng.pdf","Open File")</f>
        <v>Open File</v>
      </c>
      <c r="H31" s="48" t="str">
        <f t="shared" ca="1" si="1"/>
        <v>=HYPERLINK("B:\thuctd.github.io\NiemYet\04-KhuVucCapDien\210716-SCT-3733-hướng dẫn giải quyết vị trí cấp điện khách hàng.pdf";"Open File")</v>
      </c>
    </row>
    <row r="32" spans="1:175" ht="19.95" customHeight="1" x14ac:dyDescent="0.25">
      <c r="A32" s="6" t="str">
        <f t="shared" ca="1" si="0"/>
        <v>202508210901-EVN-1199-Quy trinh kinh doanh</v>
      </c>
      <c r="B32" s="36">
        <v>24</v>
      </c>
      <c r="C32" s="3" t="s">
        <v>126</v>
      </c>
      <c r="D32" s="19">
        <v>10644</v>
      </c>
      <c r="E32" s="3" t="s">
        <v>7</v>
      </c>
      <c r="F32" s="14">
        <v>44496.315416666665</v>
      </c>
      <c r="G32" s="56" t="str">
        <f>HYPERLINK("B:\thuctd.github.io\NiemYet\10-ThuTucCapDien\210901-EVN-1199-Quy trinh kinh doanh.pdf","Open File")</f>
        <v>Open File</v>
      </c>
      <c r="H32" s="48" t="str">
        <f t="shared" ca="1" si="1"/>
        <v>=HYPERLINK("B:\thuctd.github.io\NiemYet\10-ThuTucCapDien\210901-EVN-1199-Quy trinh kinh doanh.pdf";"Open File")</v>
      </c>
    </row>
    <row r="33" spans="1:8" ht="19.95" customHeight="1" x14ac:dyDescent="0.25">
      <c r="A33" s="6" t="str">
        <f t="shared" ca="1" si="0"/>
        <v>202508211201-UBND-QD-Cấp Giấy phép và quản lý công trình xây dựng</v>
      </c>
      <c r="B33" s="36">
        <v>25</v>
      </c>
      <c r="C33" s="3" t="s">
        <v>46</v>
      </c>
      <c r="D33" s="19">
        <v>6373</v>
      </c>
      <c r="E33" s="3" t="s">
        <v>7</v>
      </c>
      <c r="F33" s="14">
        <v>45619.425092592595</v>
      </c>
      <c r="G33" s="56" t="str">
        <f>HYPERLINK("B:\thuctd.github.io\NiemYet\02-UBNDTinh\211201-UBND-QD-Cấp Giấy phép và quản lý công trình xây dựng.pdf","Open File")</f>
        <v>Open File</v>
      </c>
      <c r="H33" s="48" t="str">
        <f t="shared" ca="1" si="1"/>
        <v>=HYPERLINK("B:\thuctd.github.io\NiemYet\02-UBNDTinh\211201-UBND-QD-Cấp Giấy phép và quản lý công trình xây dựng.pdf";"Open File")</v>
      </c>
    </row>
    <row r="34" spans="1:8" ht="19.95" customHeight="1" x14ac:dyDescent="0.25">
      <c r="A34" s="6" t="str">
        <f t="shared" ca="1" si="0"/>
        <v>202508211223-PCDNCV Ban hành Lịch ghi chỉ số công tơ năm 2022</v>
      </c>
      <c r="B34" s="36">
        <v>26</v>
      </c>
      <c r="C34" s="3" t="s">
        <v>73</v>
      </c>
      <c r="D34" s="19">
        <v>596</v>
      </c>
      <c r="E34" s="3" t="s">
        <v>7</v>
      </c>
      <c r="F34" s="14">
        <v>45442.661134259259</v>
      </c>
      <c r="G34" s="56" t="str">
        <f>HYPERLINK("B:\thuctd.github.io\NiemYet\08-LichGhiChiSo\211223-PCDNCV Ban hành Lịch ghi chỉ số công tơ năm 2022.pdf","Open File")</f>
        <v>Open File</v>
      </c>
      <c r="H34" s="48" t="str">
        <f t="shared" ca="1" si="1"/>
        <v>=HYPERLINK("B:\thuctd.github.io\NiemYet\08-LichGhiChiSo\211223-PCDNCV Ban hành Lịch ghi chỉ số công tơ năm 2022.pdf";"Open File")</v>
      </c>
    </row>
    <row r="35" spans="1:8" ht="19.95" customHeight="1" x14ac:dyDescent="0.25">
      <c r="A35" s="6" t="str">
        <f t="shared" ca="1" si="0"/>
        <v>202508220131-CP-ND17-Xu phat hanh chinh</v>
      </c>
      <c r="B35" s="36">
        <v>27</v>
      </c>
      <c r="C35" s="3" t="s">
        <v>26</v>
      </c>
      <c r="D35" s="19">
        <v>17936</v>
      </c>
      <c r="E35" s="3" t="s">
        <v>7</v>
      </c>
      <c r="F35" s="14">
        <v>45926.607175925928</v>
      </c>
      <c r="G35" s="64" t="str">
        <f>HYPERLINK("B:\thuctd.github.io\NiemYet\01-Bo-Nganh-Luat\220131-CP-ND17-Xu phat hanh chinh.pdf","Open File")</f>
        <v>Open File</v>
      </c>
      <c r="H35" s="48" t="str">
        <f t="shared" ca="1" si="1"/>
        <v>=HYPERLINK("B:\thuctd.github.io\NiemYet\01-Bo-Nganh-Luat\220131-CP-ND17-Xu phat hanh chinh.pdf";"Open File")</v>
      </c>
    </row>
    <row r="36" spans="1:8" ht="19.95" customHeight="1" x14ac:dyDescent="0.25">
      <c r="A36" s="6" t="str">
        <f t="shared" ca="1" si="0"/>
        <v>202508220524-206UBND - UBND - Ket luan cuoc hop ra soat, kho khan, vuong mac DMTMN</v>
      </c>
      <c r="B36" s="36">
        <v>28</v>
      </c>
      <c r="C36" s="3" t="s">
        <v>54</v>
      </c>
      <c r="D36" s="19">
        <v>1417</v>
      </c>
      <c r="E36" s="3" t="s">
        <v>7</v>
      </c>
      <c r="F36" s="14">
        <v>44711.358460648145</v>
      </c>
      <c r="G36" s="64" t="str">
        <f>HYPERLINK("B:\thuctd.github.io\NiemYet\02-UBNDTinh\DMTMN\220524-206UBND - UBND - Ket luan cuoc hop ra soat, kho khan, vuong mac DMTMN.pdf","Open File")</f>
        <v>Open File</v>
      </c>
      <c r="H36" s="48" t="str">
        <f t="shared" ca="1" si="1"/>
        <v>=HYPERLINK("B:\thuctd.github.io\NiemYet\02-UBNDTinh\DMTMN\220524-206UBND - UBND - Ket luan cuoc hop ra soat, kho khan, vuong mac DMTMN.pdf";"Open File")</v>
      </c>
    </row>
    <row r="37" spans="1:8" ht="19.95" customHeight="1" x14ac:dyDescent="0.25">
      <c r="A37" s="6" t="str">
        <f t="shared" ca="1" si="0"/>
        <v>202508220627-SXD-1800- TRẢ LỚI GIẤY PHÉP XD</v>
      </c>
      <c r="B37" s="36">
        <v>29</v>
      </c>
      <c r="C37" s="3" t="s">
        <v>47</v>
      </c>
      <c r="D37" s="19">
        <v>990</v>
      </c>
      <c r="E37" s="3" t="s">
        <v>7</v>
      </c>
      <c r="F37" s="14">
        <v>45442.641111111108</v>
      </c>
      <c r="G37" s="64" t="str">
        <f>HYPERLINK("B:\thuctd.github.io\NiemYet\02-UBNDTinh\220627-SXD-1800- TRẢ LỚI GIẤY PHÉP XD.pdf","Open File")</f>
        <v>Open File</v>
      </c>
      <c r="H37" s="48" t="str">
        <f t="shared" ca="1" si="1"/>
        <v>=HYPERLINK("B:\thuctd.github.io\NiemYet\02-UBNDTinh\220627-SXD-1800- TRẢ LỚI GIẤY PHÉP XD.pdf";"Open File")</v>
      </c>
    </row>
    <row r="38" spans="1:8" ht="19.95" customHeight="1" x14ac:dyDescent="0.25">
      <c r="A38" s="6" t="str">
        <f t="shared" ca="1" si="0"/>
        <v>202508221227-PCDN-CV_8150_Ban hành Lịch ghi chỉ số công tơ khách hàng năm 2023</v>
      </c>
      <c r="B38" s="38">
        <v>30</v>
      </c>
      <c r="C38" s="3" t="s">
        <v>74</v>
      </c>
      <c r="D38" s="19">
        <v>662</v>
      </c>
      <c r="E38" s="3" t="s">
        <v>7</v>
      </c>
      <c r="F38" s="14">
        <v>45442.661145833335</v>
      </c>
      <c r="G38" s="64" t="str">
        <f>HYPERLINK("B:\thuctd.github.io\NiemYet\08-LichGhiChiSo\221227-PCDN-CV_8150_Ban hành Lịch ghi chỉ số công tơ khách hàng năm 2023.pdf","Open File")</f>
        <v>Open File</v>
      </c>
      <c r="H38" s="48" t="str">
        <f t="shared" ca="1" si="1"/>
        <v>=HYPERLINK("B:\thuctd.github.io\NiemYet\08-LichGhiChiSo\221227-PCDN-CV_8150_Ban hành Lịch ghi chỉ số công tơ khách hàng năm 2023.pdf";"Open File")</v>
      </c>
    </row>
    <row r="39" spans="1:8" ht="19.95" customHeight="1" x14ac:dyDescent="0.25">
      <c r="A39" s="6" t="str">
        <f t="shared" ca="1" si="0"/>
        <v>202508221230-BCT-TT39-Sửa đổi TT25-2016 TT39-2015 TT30-2019</v>
      </c>
      <c r="B39" s="36">
        <v>31</v>
      </c>
      <c r="C39" s="3" t="s">
        <v>27</v>
      </c>
      <c r="D39" s="19">
        <v>3187</v>
      </c>
      <c r="E39" s="3" t="s">
        <v>7</v>
      </c>
      <c r="F39" s="14">
        <v>45926.607175925928</v>
      </c>
      <c r="G39" s="56" t="str">
        <f>HYPERLINK("B:\thuctd.github.io\NiemYet\01-Bo-Nganh-Luat\221230-BCT-TT39-Sửa đổi TT25-2016 TT39-2015 TT30-2019.pdf","Open File")</f>
        <v>Open File</v>
      </c>
      <c r="H39" s="48" t="str">
        <f t="shared" ca="1" si="1"/>
        <v>=HYPERLINK("B:\thuctd.github.io\NiemYet\01-Bo-Nganh-Luat\221230-BCT-TT39-Sửa đổi TT25-2016 TT39-2015 TT30-2019.pdf";"Open File")</v>
      </c>
    </row>
    <row r="40" spans="1:8" ht="19.95" customHeight="1" x14ac:dyDescent="0.25">
      <c r="A40" s="6" t="str">
        <f t="shared" ca="1" si="0"/>
        <v>202508221230-Thông tư 42-2022</v>
      </c>
      <c r="B40" s="36">
        <v>32</v>
      </c>
      <c r="C40" s="3" t="s">
        <v>28</v>
      </c>
      <c r="D40" s="19">
        <v>2203</v>
      </c>
      <c r="E40" s="3" t="s">
        <v>7</v>
      </c>
      <c r="F40" s="14">
        <v>45926.607175925928</v>
      </c>
      <c r="G40" s="64" t="str">
        <f>HYPERLINK("B:\thuctd.github.io\NiemYet\01-Bo-Nganh-Luat\221230-Thông tư 42-2022.pdf","Open File")</f>
        <v>Open File</v>
      </c>
      <c r="H40" s="48" t="str">
        <f t="shared" ca="1" si="1"/>
        <v>=HYPERLINK("B:\thuctd.github.io\NiemYet\01-Bo-Nganh-Luat\221230-Thông tư 42-2022.pdf";"Open File")</v>
      </c>
    </row>
    <row r="41" spans="1:8" ht="19.95" customHeight="1" x14ac:dyDescent="0.25">
      <c r="A41" s="6" t="str">
        <f t="shared" ca="1" si="0"/>
        <v>202508230121-BCT-TT09 Sua doi quy dinh thuc hien gia ban dien</v>
      </c>
      <c r="B41" s="36">
        <v>33</v>
      </c>
      <c r="C41" s="3" t="s">
        <v>29</v>
      </c>
      <c r="D41" s="19">
        <v>2346</v>
      </c>
      <c r="E41" s="3" t="s">
        <v>7</v>
      </c>
      <c r="F41" s="14">
        <v>45926.607175925928</v>
      </c>
      <c r="G41" s="56" t="str">
        <f>HYPERLINK("B:\thuctd.github.io\NiemYet\01-Bo-Nganh-Luat\230121-BCT-TT09 Sua doi quy dinh thuc hien gia ban dien.pdf","Open File")</f>
        <v>Open File</v>
      </c>
      <c r="H41" s="48" t="str">
        <f t="shared" ca="1" si="1"/>
        <v>=HYPERLINK("B:\thuctd.github.io\NiemYet\01-Bo-Nganh-Luat\230121-BCT-TT09 Sua doi quy dinh thuc hien gia ban dien.pdf";"Open File")</v>
      </c>
    </row>
    <row r="42" spans="1:8" ht="19.95" customHeight="1" x14ac:dyDescent="0.25">
      <c r="A42" s="6" t="str">
        <f t="shared" ca="1" si="0"/>
        <v>202508230222-1410-UBND- chỉ đạo các cơ quan ban nganh_DMTMN</v>
      </c>
      <c r="B42" s="36">
        <v>34</v>
      </c>
      <c r="C42" s="3" t="s">
        <v>55</v>
      </c>
      <c r="D42" s="19">
        <v>1773</v>
      </c>
      <c r="E42" s="3" t="s">
        <v>7</v>
      </c>
      <c r="F42" s="14">
        <v>44986.388819444444</v>
      </c>
      <c r="G42" s="56" t="str">
        <f>HYPERLINK("B:\thuctd.github.io\NiemYet\02-UBNDTinh\DMTMN\230222-1410-UBND- chỉ đạo các cơ quan ban nganh_DMTMN.pdf","Open File")</f>
        <v>Open File</v>
      </c>
      <c r="H42" s="48" t="str">
        <f t="shared" ca="1" si="1"/>
        <v>=HYPERLINK("B:\thuctd.github.io\NiemYet\02-UBNDTinh\DMTMN\230222-1410-UBND- chỉ đạo các cơ quan ban nganh_DMTMN.pdf";"Open File")</v>
      </c>
    </row>
    <row r="43" spans="1:8" ht="19.95" customHeight="1" x14ac:dyDescent="0.25">
      <c r="A43" s="6" t="str">
        <f t="shared" ca="1" si="0"/>
        <v>202508230410-SCT-1730 cấp phép XD trung áp</v>
      </c>
      <c r="B43" s="36">
        <v>35</v>
      </c>
      <c r="C43" s="3" t="s">
        <v>127</v>
      </c>
      <c r="D43" s="19">
        <v>941</v>
      </c>
      <c r="E43" s="3" t="s">
        <v>7</v>
      </c>
      <c r="F43" s="14">
        <v>45442.640590277777</v>
      </c>
      <c r="G43" s="56" t="str">
        <f>HYPERLINK("B:\thuctd.github.io\NiemYet\10-ThuTucCapDien\230410-SCT-1730 cấp phép XD trung áp.pdf","Open File")</f>
        <v>Open File</v>
      </c>
      <c r="H43" s="48" t="str">
        <f t="shared" ca="1" si="1"/>
        <v>=HYPERLINK("B:\thuctd.github.io\NiemYet\10-ThuTucCapDien\230410-SCT-1730 cấp phép XD trung áp.pdf";"Open File")</v>
      </c>
    </row>
    <row r="44" spans="1:8" ht="19.95" customHeight="1" x14ac:dyDescent="0.25">
      <c r="A44" s="6" t="str">
        <f t="shared" ca="1" si="0"/>
        <v>202508230410-SCT-1730-về việc cấp phép xây dựng</v>
      </c>
      <c r="B44" s="36">
        <v>36</v>
      </c>
      <c r="C44" s="3" t="s">
        <v>48</v>
      </c>
      <c r="D44" s="19">
        <v>941</v>
      </c>
      <c r="E44" s="3" t="s">
        <v>7</v>
      </c>
      <c r="F44" s="14">
        <v>45029.361331018517</v>
      </c>
      <c r="G44" s="56" t="str">
        <f>HYPERLINK("B:\thuctd.github.io\NiemYet\02-UBNDTinh\230410-SCT-1730-về việc cấp phép xây dựng.pdf","Open File")</f>
        <v>Open File</v>
      </c>
      <c r="H44" s="48" t="str">
        <f t="shared" ca="1" si="1"/>
        <v>=HYPERLINK("B:\thuctd.github.io\NiemYet\02-UBNDTinh\230410-SCT-1730-về việc cấp phép xây dựng.pdf";"Open File")</v>
      </c>
    </row>
    <row r="45" spans="1:8" ht="19.95" customHeight="1" x14ac:dyDescent="0.25">
      <c r="A45" s="6" t="str">
        <f t="shared" ca="1" si="0"/>
        <v>202508230421-1997- SCT - TB thao go kho khan bo sung ho so phap ly DMTMN</v>
      </c>
      <c r="B45" s="36">
        <v>37</v>
      </c>
      <c r="C45" s="3" t="s">
        <v>56</v>
      </c>
      <c r="D45" s="19">
        <v>1407</v>
      </c>
      <c r="E45" s="3" t="s">
        <v>7</v>
      </c>
      <c r="F45" s="14">
        <v>45040.331875000003</v>
      </c>
      <c r="G45" s="56" t="str">
        <f>HYPERLINK("B:\thuctd.github.io\NiemYet\02-UBNDTinh\DMTMN\230421-1997- SCT - TB thao go kho khan bo sung ho so phap ly DMTMN.pdf","Open File")</f>
        <v>Open File</v>
      </c>
      <c r="H45" s="48" t="str">
        <f t="shared" ca="1" si="1"/>
        <v>=HYPERLINK("B:\thuctd.github.io\NiemYet\02-UBNDTinh\DMTMN\230421-1997- SCT - TB thao go kho khan bo sung ho so phap ly DMTMN.pdf";"Open File")</v>
      </c>
    </row>
    <row r="46" spans="1:8" ht="19.95" customHeight="1" x14ac:dyDescent="0.25">
      <c r="A46" s="6" t="str">
        <f t="shared" ca="1" si="0"/>
        <v>202508230608-CP-Chỉ thị 20-TTg (ngày 8-6-2023) Tăng cường tiết kiệm điện giai đoạn 2023-2025 và các năm tiếp theo</v>
      </c>
      <c r="B46" s="36">
        <v>38</v>
      </c>
      <c r="C46" s="5" t="s">
        <v>64</v>
      </c>
      <c r="D46" s="19">
        <v>5296</v>
      </c>
      <c r="E46" s="3" t="s">
        <v>7</v>
      </c>
      <c r="F46" s="14">
        <v>45442.478125000001</v>
      </c>
      <c r="G46" s="56" t="str">
        <f>HYPERLINK("B:\thuctd.github.io\NiemYet\06-CSKH\230608-CP-Chỉ thị 20-TTg (ngày 8-6-2023) Tăng cường tiết kiệm điện giai đoạn 2023-2025 và các năm tiếp theo.pdf","Open File")</f>
        <v>Open File</v>
      </c>
      <c r="H46" s="48" t="str">
        <f t="shared" ca="1" si="1"/>
        <v>=HYPERLINK("B:\thuctd.github.io\NiemYet\06-CSKH\230608-CP-Chỉ thị 20-TTg (ngày 8-6-2023) Tăng cường tiết kiệm điện giai đoạn 2023-2025 và các năm tiếp theo.pdf";"Open File")</v>
      </c>
    </row>
    <row r="47" spans="1:8" ht="19.95" customHeight="1" x14ac:dyDescent="0.25">
      <c r="A47" s="6" t="str">
        <f t="shared" ca="1" si="0"/>
        <v>202508230629-SCT4328-ApGiaSanXuatDoiVoiCacCoSoSanXuatNgoaiKhuCongNghiepCumCongNghiep</v>
      </c>
      <c r="B47" s="36">
        <v>39</v>
      </c>
      <c r="C47" s="3" t="s">
        <v>49</v>
      </c>
      <c r="D47" s="19">
        <v>1357</v>
      </c>
      <c r="E47" s="45" t="s">
        <v>7</v>
      </c>
      <c r="F47" s="44">
        <v>45107.561412037037</v>
      </c>
      <c r="G47" s="56" t="str">
        <f>HYPERLINK("B:\thuctd.github.io\NiemYet\02-UBNDTinh\230629-SCT4328-ApGiaSanXuatDoiVoiCacCoSoSanXuatNgoaiKhuCongNghiepCumCongNghiep.pdf","Open File")</f>
        <v>Open File</v>
      </c>
      <c r="H47" s="48" t="str">
        <f t="shared" ca="1" si="1"/>
        <v>=HYPERLINK("B:\thuctd.github.io\NiemYet\02-UBNDTinh\230629-SCT4328-ApGiaSanXuatDoiVoiCacCoSoSanXuatNgoaiKhuCongNghiepCumCongNghiep.pdf";"Open File")</v>
      </c>
    </row>
    <row r="48" spans="1:8" ht="19.95" customHeight="1" x14ac:dyDescent="0.25">
      <c r="A48" s="6" t="str">
        <f t="shared" ca="1" si="0"/>
        <v>202508230818-SCT-5276_Y kien doi voi phương án dời lịch ghi chỉ số điện 2023</v>
      </c>
      <c r="B48" s="36">
        <v>40</v>
      </c>
      <c r="C48" s="3" t="s">
        <v>75</v>
      </c>
      <c r="D48" s="19">
        <v>1001</v>
      </c>
      <c r="E48" s="3" t="s">
        <v>7</v>
      </c>
      <c r="F48" s="14">
        <v>45614.386979166666</v>
      </c>
      <c r="G48" s="56" t="str">
        <f>HYPERLINK("B:\thuctd.github.io\NiemYet\08-LichGhiChiSo\230818-SCT-5276_Y kien doi voi phương án dời lịch ghi chỉ số điện 2023.pdf","Open File")</f>
        <v>Open File</v>
      </c>
      <c r="H48" s="48" t="str">
        <f t="shared" ca="1" si="1"/>
        <v>=HYPERLINK("B:\thuctd.github.io\NiemYet\08-LichGhiChiSo\230818-SCT-5276_Y kien doi voi phương án dời lịch ghi chỉ số điện 2023.pdf";"Open File")</v>
      </c>
    </row>
    <row r="49" spans="1:8" ht="19.95" customHeight="1" x14ac:dyDescent="0.25">
      <c r="A49" s="6" t="str">
        <f t="shared" ca="1" si="0"/>
        <v>202508230908-PCDN-5351 - BC_doi lich GCS công tơ năm 2023_SCT_final</v>
      </c>
      <c r="B49" s="36">
        <v>41</v>
      </c>
      <c r="C49" s="3" t="s">
        <v>76</v>
      </c>
      <c r="D49" s="19">
        <v>823</v>
      </c>
      <c r="E49" s="3" t="s">
        <v>7</v>
      </c>
      <c r="F49" s="14">
        <v>45614.387013888889</v>
      </c>
      <c r="G49" s="64" t="str">
        <f>HYPERLINK("B:\thuctd.github.io\NiemYet\08-LichGhiChiSo\230908-PCDN-5351 - BC_doi lich GCS công tơ năm 2023_SCT_final.pdf","Open File")</f>
        <v>Open File</v>
      </c>
      <c r="H49" s="48" t="str">
        <f t="shared" ca="1" si="1"/>
        <v>=HYPERLINK("B:\thuctd.github.io\NiemYet\08-LichGhiChiSo\230908-PCDN-5351 - BC_doi lich GCS công tơ năm 2023_SCT_final.pdf";"Open File")</v>
      </c>
    </row>
    <row r="50" spans="1:8" ht="19.95" customHeight="1" x14ac:dyDescent="0.25">
      <c r="A50" s="6" t="str">
        <f t="shared" ca="1" si="0"/>
        <v>202508230927-UBND-231-Tiết kiệm điện</v>
      </c>
      <c r="B50" s="36">
        <v>42</v>
      </c>
      <c r="C50" s="3" t="s">
        <v>65</v>
      </c>
      <c r="D50" s="19">
        <v>5772</v>
      </c>
      <c r="E50" s="3" t="s">
        <v>7</v>
      </c>
      <c r="F50" s="14">
        <v>45442.478773148148</v>
      </c>
      <c r="G50" s="64" t="str">
        <f>HYPERLINK("B:\thuctd.github.io\NiemYet\06-CSKH\230927-UBND-231-Tiết kiệm điện.pdf","Open File")</f>
        <v>Open File</v>
      </c>
      <c r="H50" s="48" t="str">
        <f t="shared" ca="1" si="1"/>
        <v>=HYPERLINK("B:\thuctd.github.io\NiemYet\06-CSKH\230927-UBND-231-Tiết kiệm điện.pdf";"Open File")</v>
      </c>
    </row>
    <row r="51" spans="1:8" ht="19.95" customHeight="1" x14ac:dyDescent="0.25">
      <c r="A51" s="6" t="str">
        <f t="shared" ca="1" si="0"/>
        <v>202508231108-EVN-1416-QD-EVN ve viec dieu chinh muc gia ban le den binh quan</v>
      </c>
      <c r="B51" s="36">
        <v>43</v>
      </c>
      <c r="C51" s="3" t="s">
        <v>30</v>
      </c>
      <c r="D51" s="19">
        <v>428</v>
      </c>
      <c r="E51" s="3" t="s">
        <v>7</v>
      </c>
      <c r="F51" s="14">
        <v>45926.607175925928</v>
      </c>
      <c r="G51" s="64" t="str">
        <f>HYPERLINK("B:\thuctd.github.io\NiemYet\01-Bo-Nganh-Luat\231108-EVN-1416-QD-EVN ve viec dieu chinh muc gia ban le den binh quan.pdf","Open File")</f>
        <v>Open File</v>
      </c>
      <c r="H51" s="48" t="str">
        <f t="shared" ca="1" si="1"/>
        <v>=HYPERLINK("B:\thuctd.github.io\NiemYet\01-Bo-Nganh-Luat\231108-EVN-1416-QD-EVN ve viec dieu chinh muc gia ban le den binh quan.pdf";"Open File")</v>
      </c>
    </row>
    <row r="52" spans="1:8" ht="19.95" customHeight="1" x14ac:dyDescent="0.25">
      <c r="A52" s="6" t="str">
        <f t="shared" ca="1" si="0"/>
        <v>202508231212-UBND-13420- xu ly ho so phap ly lien quan dat dai DMTMN</v>
      </c>
      <c r="B52" s="36">
        <v>44</v>
      </c>
      <c r="C52" s="3" t="s">
        <v>57</v>
      </c>
      <c r="D52" s="19">
        <v>652</v>
      </c>
      <c r="E52" s="3" t="s">
        <v>7</v>
      </c>
      <c r="F52" s="14">
        <v>45273.629976851851</v>
      </c>
      <c r="G52" s="56" t="str">
        <f>HYPERLINK("B:\thuctd.github.io\NiemYet\02-UBNDTinh\DMTMN\231212-UBND-13420- xu ly ho so phap ly lien quan dat dai DMTMN.pdf","Open File")</f>
        <v>Open File</v>
      </c>
      <c r="H52" s="48" t="str">
        <f t="shared" ca="1" si="1"/>
        <v>=HYPERLINK("B:\thuctd.github.io\NiemYet\02-UBNDTinh\DMTMN\231212-UBND-13420- xu ly ho so phap ly lien quan dat dai DMTMN.pdf";"Open File")</v>
      </c>
    </row>
    <row r="53" spans="1:8" ht="19.95" customHeight="1" x14ac:dyDescent="0.25">
      <c r="A53" s="6" t="str">
        <f t="shared" ca="1" si="0"/>
        <v>202508231213-2370-QD-UBND- Quyet dinh phe duyet danh sach khach hang quan trong</v>
      </c>
      <c r="B53" s="36">
        <v>45</v>
      </c>
      <c r="C53" s="3" t="s">
        <v>50</v>
      </c>
      <c r="D53" s="19">
        <v>29289</v>
      </c>
      <c r="E53" s="3" t="s">
        <v>7</v>
      </c>
      <c r="F53" s="14">
        <v>45275.399791666663</v>
      </c>
      <c r="G53" s="56" t="str">
        <f>HYPERLINK("B:\thuctd.github.io\NiemYet\02-UBNDTinh\231213-2370-QD-UBND- Quyet dinh phe duyet danh sach khach hang quan trong.pdf","Open File")</f>
        <v>Open File</v>
      </c>
      <c r="H53" s="48" t="str">
        <f t="shared" ca="1" si="1"/>
        <v>=HYPERLINK("B:\thuctd.github.io\NiemYet\02-UBNDTinh\231213-2370-QD-UBND- Quyet dinh phe duyet danh sach khach hang quan trong.pdf";"Open File")</v>
      </c>
    </row>
    <row r="54" spans="1:8" ht="19.95" customHeight="1" x14ac:dyDescent="0.25">
      <c r="A54" s="6" t="str">
        <f t="shared" ca="1" si="0"/>
        <v>202508231229-PCDN-Ban hành Lịch ghi chỉ số công tơ khách hàng năm 2024</v>
      </c>
      <c r="B54" s="36">
        <v>46</v>
      </c>
      <c r="C54" s="3" t="s">
        <v>77</v>
      </c>
      <c r="D54" s="19">
        <v>654</v>
      </c>
      <c r="E54" s="45" t="s">
        <v>7</v>
      </c>
      <c r="F54" s="14">
        <v>45442.661550925928</v>
      </c>
      <c r="G54" s="56" t="str">
        <f>HYPERLINK("B:\thuctd.github.io\NiemYet\08-LichGhiChiSo\231229-PCDN-Ban hành Lịch ghi chỉ số công tơ khách hàng năm 2024.pdf","Open File")</f>
        <v>Open File</v>
      </c>
      <c r="H54" s="48" t="str">
        <f t="shared" ca="1" si="1"/>
        <v>=HYPERLINK("B:\thuctd.github.io\NiemYet\08-LichGhiChiSo\231229-PCDN-Ban hành Lịch ghi chỉ số công tơ khách hàng năm 2024.pdf";"Open File")</v>
      </c>
    </row>
    <row r="55" spans="1:8" ht="19.95" customHeight="1" x14ac:dyDescent="0.25">
      <c r="A55" s="6" t="str">
        <f t="shared" ca="1" si="0"/>
        <v>202508240201-UBND-45_KH-UBND- Tiêt kiệm điện</v>
      </c>
      <c r="B55" s="36">
        <v>47</v>
      </c>
      <c r="C55" s="3" t="s">
        <v>66</v>
      </c>
      <c r="D55" s="19">
        <v>4475</v>
      </c>
      <c r="E55" s="45" t="s">
        <v>7</v>
      </c>
      <c r="F55" s="44">
        <v>45622.698194444441</v>
      </c>
      <c r="G55" s="56" t="str">
        <f>HYPERLINK("B:\thuctd.github.io\NiemYet\06-CSKH\240201-UBND-45_KH-UBND- Tiêt kiệm điện.pdf","Open File")</f>
        <v>Open File</v>
      </c>
      <c r="H55" s="48" t="str">
        <f t="shared" ca="1" si="1"/>
        <v>=HYPERLINK("B:\thuctd.github.io\NiemYet\06-CSKH\240201-UBND-45_KH-UBND- Tiêt kiệm điện.pdf";"Open File")</v>
      </c>
    </row>
    <row r="56" spans="1:8" ht="19.95" customHeight="1" x14ac:dyDescent="0.25">
      <c r="A56" s="6" t="str">
        <f t="shared" ca="1" si="0"/>
        <v>202508240201-UBND-KH Sử dụng điện tiết kiệm</v>
      </c>
      <c r="B56" s="36">
        <v>48</v>
      </c>
      <c r="C56" s="3" t="s">
        <v>128</v>
      </c>
      <c r="D56" s="19">
        <v>4875</v>
      </c>
      <c r="E56" s="45" t="s">
        <v>7</v>
      </c>
      <c r="F56" s="14">
        <v>45442.476782407408</v>
      </c>
      <c r="G56" s="56" t="str">
        <f>HYPERLINK("B:\thuctd.github.io\NiemYet\10-ThuTucCapDien\240201-UBND-KH Sử dụng điện tiết kiệm.pdf","Open File")</f>
        <v>Open File</v>
      </c>
      <c r="H56" s="48" t="str">
        <f t="shared" ca="1" si="1"/>
        <v>=HYPERLINK("B:\thuctd.github.io\NiemYet\10-ThuTucCapDien\240201-UBND-KH Sử dụng điện tiết kiệm.pdf";"Open File")</v>
      </c>
    </row>
    <row r="57" spans="1:8" ht="19.95" customHeight="1" x14ac:dyDescent="0.25">
      <c r="A57" s="6" t="str">
        <f t="shared" ca="1" si="0"/>
        <v>202508240304-UBH-Khu vực chưa du dieu kien cap dien</v>
      </c>
      <c r="B57" s="36">
        <v>49</v>
      </c>
      <c r="C57" s="3" t="s">
        <v>59</v>
      </c>
      <c r="D57" s="19">
        <v>2115</v>
      </c>
      <c r="E57" s="3" t="s">
        <v>7</v>
      </c>
      <c r="F57" s="14">
        <v>45619.496481481481</v>
      </c>
      <c r="G57" s="56" t="str">
        <f>HYPERLINK("B:\thuctd.github.io\NiemYet\04-KhuVucCapDien\240304-UBH-Khu vực chưa du dieu kien cap dien.pdf","Open File")</f>
        <v>Open File</v>
      </c>
      <c r="H57" s="48" t="str">
        <f t="shared" ca="1" si="1"/>
        <v>=HYPERLINK("B:\thuctd.github.io\NiemYet\04-KhuVucCapDien\240304-UBH-Khu vực chưa du dieu kien cap dien.pdf";"Open File")</v>
      </c>
    </row>
    <row r="58" spans="1:8" ht="19.95" customHeight="1" x14ac:dyDescent="0.25">
      <c r="A58" s="6" t="str">
        <f t="shared" ca="1" si="0"/>
        <v>202508240403-PCDN-VB GUI SCT BC KHU VỰC KHÔNG ĐỦ DK CAP DIEN</v>
      </c>
      <c r="B58" s="36">
        <v>50</v>
      </c>
      <c r="C58" s="3" t="s">
        <v>60</v>
      </c>
      <c r="D58" s="19">
        <v>541</v>
      </c>
      <c r="E58" s="3" t="s">
        <v>7</v>
      </c>
      <c r="F58" s="14">
        <v>45386.376273148147</v>
      </c>
      <c r="G58" s="56" t="str">
        <f>HYPERLINK("B:\thuctd.github.io\NiemYet\04-KhuVucCapDien\240403-PCDN-VB GUI SCT BC KHU VỰC KHÔNG ĐỦ DK CAP DIEN.pdf","Open File")</f>
        <v>Open File</v>
      </c>
      <c r="H58" s="48" t="str">
        <f t="shared" ca="1" si="1"/>
        <v>=HYPERLINK("B:\thuctd.github.io\NiemYet\04-KhuVucCapDien\240403-PCDN-VB GUI SCT BC KHU VỰC KHÔNG ĐỦ DK CAP DIEN.pdf";"Open File")</v>
      </c>
    </row>
    <row r="59" spans="1:8" ht="19.95" customHeight="1" x14ac:dyDescent="0.25">
      <c r="A59" s="6" t="str">
        <f t="shared" ca="1" si="0"/>
        <v>202508240408-EVN-Chithi_ 1902 tang cuong DSM 2024_Ver4</v>
      </c>
      <c r="B59" s="36">
        <v>51</v>
      </c>
      <c r="C59" s="3" t="s">
        <v>67</v>
      </c>
      <c r="D59" s="19">
        <v>623</v>
      </c>
      <c r="E59" s="3" t="s">
        <v>7</v>
      </c>
      <c r="F59" s="14">
        <v>45442.479687500003</v>
      </c>
      <c r="G59" s="64" t="str">
        <f>HYPERLINK("B:\thuctd.github.io\NiemYet\06-CSKH\240408-EVN-Chithi_ 1902 tang cuong DSM 2024_Ver4.pdf","Open File")</f>
        <v>Open File</v>
      </c>
      <c r="H59" s="48" t="str">
        <f t="shared" ca="1" si="1"/>
        <v>=HYPERLINK("B:\thuctd.github.io\NiemYet\06-CSKH\240408-EVN-Chithi_ 1902 tang cuong DSM 2024_Ver4.pdf";"Open File")</v>
      </c>
    </row>
    <row r="60" spans="1:8" ht="19.95" customHeight="1" x14ac:dyDescent="0.25">
      <c r="A60" s="6" t="str">
        <f t="shared" ca="1" si="0"/>
        <v>202508240422-UBND-1126-Quy trình một cửa liên thông</v>
      </c>
      <c r="B60" s="36">
        <v>52</v>
      </c>
      <c r="C60" s="3" t="s">
        <v>51</v>
      </c>
      <c r="D60" s="19">
        <v>13280</v>
      </c>
      <c r="E60" s="3" t="s">
        <v>7</v>
      </c>
      <c r="F60" s="14">
        <v>45418.391504629632</v>
      </c>
      <c r="G60" s="56" t="str">
        <f>HYPERLINK("B:\thuctd.github.io\NiemYet\02-UBNDTinh\240422-UBND-1126-Quy trình một cửa liên thông.pdf","Open File")</f>
        <v>Open File</v>
      </c>
      <c r="H60" s="48" t="str">
        <f t="shared" ca="1" si="1"/>
        <v>=HYPERLINK("B:\thuctd.github.io\NiemYet\02-UBNDTinh\240422-UBND-1126-Quy trình một cửa liên thông.pdf";"Open File")</v>
      </c>
    </row>
    <row r="61" spans="1:8" ht="19.95" customHeight="1" x14ac:dyDescent="0.25">
      <c r="A61" s="6" t="str">
        <f t="shared" ca="1" si="0"/>
        <v>202508240422-UBND-1126-Quy trình một cửa liên thông</v>
      </c>
      <c r="B61" s="36">
        <v>53</v>
      </c>
      <c r="C61" s="3" t="s">
        <v>51</v>
      </c>
      <c r="D61" s="19">
        <v>13280</v>
      </c>
      <c r="E61" s="3" t="s">
        <v>7</v>
      </c>
      <c r="F61" s="14">
        <v>45418.391504629632</v>
      </c>
      <c r="G61" s="56" t="str">
        <f>HYPERLINK("B:\thuctd.github.io\NiemYet\10-ThuTucCapDien\240422-UBND-1126-Quy trình một cửa liên thông.pdf","Open File")</f>
        <v>Open File</v>
      </c>
      <c r="H61" s="48" t="str">
        <f t="shared" ca="1" si="1"/>
        <v>=HYPERLINK("B:\thuctd.github.io\NiemYet\10-ThuTucCapDien\240422-UBND-1126-Quy trình một cửa liên thông.pdf";"Open File")</v>
      </c>
    </row>
    <row r="62" spans="1:8" ht="19.95" customHeight="1" x14ac:dyDescent="0.25">
      <c r="A62" s="6" t="str">
        <f t="shared" ca="1" si="0"/>
        <v>202508240426-PCDN-2684 -KH-PCND Chương trình DSM_TKD năm 2024_final_</v>
      </c>
      <c r="B62" s="36">
        <v>54</v>
      </c>
      <c r="C62" s="3" t="s">
        <v>68</v>
      </c>
      <c r="D62" s="19">
        <v>981</v>
      </c>
      <c r="E62" s="3" t="s">
        <v>7</v>
      </c>
      <c r="F62" s="44">
        <v>45442.479328703703</v>
      </c>
      <c r="G62" s="56" t="str">
        <f>HYPERLINK("B:\thuctd.github.io\NiemYet\06-CSKH\240426-PCDN-2684 -KH-PCND Chương trình DSM_TKD năm 2024_final_.pdf","Open File")</f>
        <v>Open File</v>
      </c>
      <c r="H62" s="48" t="str">
        <f t="shared" ca="1" si="1"/>
        <v>=HYPERLINK("B:\thuctd.github.io\NiemYet\06-CSKH\240426-PCDN-2684 -KH-PCND Chương trình DSM_TKD năm 2024_final_.pdf";"Open File")</v>
      </c>
    </row>
    <row r="63" spans="1:8" ht="19.95" customHeight="1" x14ac:dyDescent="0.25">
      <c r="A63" s="6" t="str">
        <f t="shared" ca="1" si="0"/>
        <v>202508240426-SCT-Triển khai 1126</v>
      </c>
      <c r="B63" s="36">
        <v>55</v>
      </c>
      <c r="C63" s="3" t="s">
        <v>129</v>
      </c>
      <c r="D63" s="19">
        <v>942</v>
      </c>
      <c r="E63" s="3" t="s">
        <v>7</v>
      </c>
      <c r="F63" s="14">
        <v>45428.393425925926</v>
      </c>
      <c r="G63" s="56" t="str">
        <f>HYPERLINK("B:\thuctd.github.io\NiemYet\10-ThuTucCapDien\240426-SCT-Triển khai 1126.pdf","Open File")</f>
        <v>Open File</v>
      </c>
      <c r="H63" s="48" t="str">
        <f t="shared" ca="1" si="1"/>
        <v>=HYPERLINK("B:\thuctd.github.io\NiemYet\10-ThuTucCapDien\240426-SCT-Triển khai 1126.pdf";"Open File")</v>
      </c>
    </row>
    <row r="64" spans="1:8" ht="19.95" customHeight="1" x14ac:dyDescent="0.25">
      <c r="A64" s="6" t="str">
        <f t="shared" ca="1" si="0"/>
        <v>202508240716-PCDN-BC_UBND tỉnh phuong an dich chuyen GCS_về cuối tháng_Fn (4798 16.07.2024)</v>
      </c>
      <c r="B64" s="36">
        <v>56</v>
      </c>
      <c r="C64" s="3" t="s">
        <v>78</v>
      </c>
      <c r="D64" s="19">
        <v>579</v>
      </c>
      <c r="E64" s="3" t="s">
        <v>7</v>
      </c>
      <c r="F64" s="14">
        <v>45614.386944444443</v>
      </c>
      <c r="G64" s="56" t="str">
        <f>HYPERLINK("B:\thuctd.github.io\NiemYet\08-LichGhiChiSo\240716-PCDN-BC_UBND tỉnh phuong an dich chuyen GCS_về cuối tháng_Fn (4798 16.07.2024).pdf","Open File")</f>
        <v>Open File</v>
      </c>
      <c r="H64" s="48" t="str">
        <f t="shared" ca="1" si="1"/>
        <v>=HYPERLINK("B:\thuctd.github.io\NiemYet\08-LichGhiChiSo\240716-PCDN-BC_UBND tỉnh phuong an dich chuyen GCS_về cuối tháng_Fn (4798 16.07.2024).pdf";"Open File")</v>
      </c>
    </row>
    <row r="65" spans="1:8" ht="19.95" customHeight="1" x14ac:dyDescent="0.25">
      <c r="A65" s="6" t="str">
        <f t="shared" ca="1" si="0"/>
        <v>202508240830-EVN-889-QĐ  Quy dinh ve cac dich vu dien EVN_2024_3</v>
      </c>
      <c r="B65" s="36">
        <v>57</v>
      </c>
      <c r="C65" s="3" t="s">
        <v>130</v>
      </c>
      <c r="D65" s="19">
        <v>2863</v>
      </c>
      <c r="E65" s="3" t="s">
        <v>7</v>
      </c>
      <c r="F65" s="44">
        <v>45546.246759259258</v>
      </c>
      <c r="G65" s="56" t="str">
        <f>HYPERLINK("B:\thuctd.github.io\NiemYet\10-ThuTucCapDien\240830-EVN-889-QĐ  Quy dinh ve cac dich vu dien EVN_2024_3.pdf","Open File")</f>
        <v>Open File</v>
      </c>
      <c r="H65" s="48" t="str">
        <f t="shared" ca="1" si="1"/>
        <v>=HYPERLINK("B:\thuctd.github.io\NiemYet\10-ThuTucCapDien\240830-EVN-889-QĐ  Quy dinh ve cac dich vu dien EVN_2024_3.pdf";"Open File")</v>
      </c>
    </row>
    <row r="66" spans="1:8" ht="19.95" customHeight="1" x14ac:dyDescent="0.25">
      <c r="A66" s="6" t="str">
        <f t="shared" ca="1" si="0"/>
        <v>202508240830-EVN-889-Quy dinh ve cac dich vu dien EVN</v>
      </c>
      <c r="B66" s="36">
        <v>58</v>
      </c>
      <c r="C66" s="3" t="s">
        <v>31</v>
      </c>
      <c r="D66" s="19">
        <v>2863</v>
      </c>
      <c r="E66" s="3" t="s">
        <v>7</v>
      </c>
      <c r="F66" s="44">
        <v>45926.607175925928</v>
      </c>
      <c r="G66" s="56" t="str">
        <f>HYPERLINK("B:\thuctd.github.io\NiemYet\01-Bo-Nganh-Luat\240830-EVN-889-Quy dinh ve cac dich vu dien EVN.pdf","Open File")</f>
        <v>Open File</v>
      </c>
      <c r="H66" s="48" t="str">
        <f t="shared" ca="1" si="1"/>
        <v>=HYPERLINK("B:\thuctd.github.io\NiemYet\01-Bo-Nganh-Luat\240830-EVN-889-Quy dinh ve cac dich vu dien EVN.pdf";"Open File")</v>
      </c>
    </row>
    <row r="67" spans="1:8" ht="19.95" customHeight="1" x14ac:dyDescent="0.25">
      <c r="A67" s="6" t="str">
        <f t="shared" ca="1" si="0"/>
        <v>202508241011-BCT-2699-Giá bán điện</v>
      </c>
      <c r="B67" s="36">
        <v>59</v>
      </c>
      <c r="C67" s="3" t="s">
        <v>32</v>
      </c>
      <c r="D67" s="19">
        <v>2528</v>
      </c>
      <c r="E67" s="3" t="s">
        <v>7</v>
      </c>
      <c r="F67" s="14">
        <v>45926.607175925928</v>
      </c>
      <c r="G67" s="56" t="str">
        <f>HYPERLINK("B:\thuctd.github.io\NiemYet\01-Bo-Nganh-Luat\241011-BCT-2699-Giá bán điện.pdf","Open File")</f>
        <v>Open File</v>
      </c>
      <c r="H67" s="48" t="str">
        <f t="shared" ca="1" si="1"/>
        <v>=HYPERLINK("B:\thuctd.github.io\NiemYet\01-Bo-Nganh-Luat\241011-BCT-2699-Giá bán điện.pdf";"Open File")</v>
      </c>
    </row>
    <row r="68" spans="1:8" ht="19.95" customHeight="1" x14ac:dyDescent="0.25">
      <c r="A68" s="6" t="str">
        <f t="shared" ca="1" si="0"/>
        <v>202508241011-BCT-2699-Giá bán điện</v>
      </c>
      <c r="B68" s="36">
        <v>60</v>
      </c>
      <c r="C68" s="3" t="s">
        <v>32</v>
      </c>
      <c r="D68" s="19">
        <v>2528</v>
      </c>
      <c r="E68" s="3" t="s">
        <v>7</v>
      </c>
      <c r="F68" s="14">
        <v>45619.407592592594</v>
      </c>
      <c r="G68" s="64" t="str">
        <f>HYPERLINK("B:\thuctd.github.io\NiemYet\07-GiaDien\241011-BCT-2699-Giá bán điện.pdf","Open File")</f>
        <v>Open File</v>
      </c>
      <c r="H68" s="48" t="str">
        <f t="shared" ca="1" si="1"/>
        <v>=HYPERLINK("B:\thuctd.github.io\NiemYet\07-GiaDien\241011-BCT-2699-Giá bán điện.pdf";"Open File")</v>
      </c>
    </row>
    <row r="69" spans="1:8" ht="19.95" customHeight="1" x14ac:dyDescent="0.25">
      <c r="A69" s="6" t="str">
        <f t="shared" ca="1" si="0"/>
        <v>202508241104-SCT-02 THÔNG BÁO CHẤP THUẬN MẪU HĐSH CỦA SCT</v>
      </c>
      <c r="B69" s="36">
        <v>61</v>
      </c>
      <c r="C69" s="3" t="s">
        <v>134</v>
      </c>
      <c r="D69" s="19">
        <v>1024</v>
      </c>
      <c r="E69" s="45" t="s">
        <v>7</v>
      </c>
      <c r="F69" s="44">
        <v>45616.637326388889</v>
      </c>
      <c r="G69" s="56" t="str">
        <f>HYPERLINK("B:\thuctd.github.io\NiemYet\11-MauBieuDichVu\241104-SCT-02 THÔNG BÁO CHẤP THUẬN MẪU HĐSH CỦA SCT.pdf","Open File")</f>
        <v>Open File</v>
      </c>
      <c r="H69" s="48" t="str">
        <f t="shared" ca="1" si="1"/>
        <v>=HYPERLINK("B:\thuctd.github.io\NiemYet\11-MauBieuDichVu\241104-SCT-02 THÔNG BÁO CHẤP THUẬN MẪU HĐSH CỦA SCT.pdf";"Open File")</v>
      </c>
    </row>
    <row r="70" spans="1:8" ht="19.95" customHeight="1" x14ac:dyDescent="0.25">
      <c r="A70" s="6" t="str">
        <f t="shared" ca="1" si="0"/>
        <v>202508241104-SCT-02-TB_Chấp thuận mẫu HĐ</v>
      </c>
      <c r="B70" s="36">
        <v>62</v>
      </c>
      <c r="C70" s="3" t="s">
        <v>131</v>
      </c>
      <c r="D70" s="19">
        <v>1024</v>
      </c>
      <c r="E70" s="45" t="s">
        <v>7</v>
      </c>
      <c r="F70" s="44">
        <v>45642.624108796299</v>
      </c>
      <c r="G70" s="56" t="str">
        <f>HYPERLINK("B:\thuctd.github.io\NiemYet\10-ThuTucCapDien\241104-SCT-02-TB_Chấp thuận mẫu HĐ.pdf","Open File")</f>
        <v>Open File</v>
      </c>
      <c r="H70" s="48" t="str">
        <f t="shared" ca="1" si="1"/>
        <v>=HYPERLINK("B:\thuctd.github.io\NiemYet\10-ThuTucCapDien\241104-SCT-02-TB_Chấp thuận mẫu HĐ.pdf";"Open File")</v>
      </c>
    </row>
    <row r="71" spans="1:8" ht="19.95" customHeight="1" x14ac:dyDescent="0.25">
      <c r="A71" s="6" t="str">
        <f t="shared" ca="1" si="0"/>
        <v>202508241104-SCT-Mẫu HĐMBĐ SH_đã hoàn thành đăng ký SCT</v>
      </c>
      <c r="B71" s="36">
        <v>63</v>
      </c>
      <c r="C71" s="3" t="s">
        <v>135</v>
      </c>
      <c r="D71" s="19">
        <v>4051</v>
      </c>
      <c r="E71" s="3" t="s">
        <v>7</v>
      </c>
      <c r="F71" s="14">
        <v>45616.638009259259</v>
      </c>
      <c r="G71" s="56" t="str">
        <f>HYPERLINK("B:\thuctd.github.io\NiemYet\11-MauBieuDichVu\241104-SCT-Mẫu HĐMBĐ SH_đã hoàn thành đăng ký SCT.pdf","Open File")</f>
        <v>Open File</v>
      </c>
      <c r="H71" s="48" t="str">
        <f t="shared" ca="1" si="1"/>
        <v>=HYPERLINK("B:\thuctd.github.io\NiemYet\11-MauBieuDichVu\241104-SCT-Mẫu HĐMBĐ SH_đã hoàn thành đăng ký SCT.pdf";"Open File")</v>
      </c>
    </row>
    <row r="72" spans="1:8" ht="19.95" customHeight="1" x14ac:dyDescent="0.25">
      <c r="A72" s="6" t="str">
        <f t="shared" ca="1" si="0"/>
        <v>202508241126-6802_SCT-KTQLNL.zip</v>
      </c>
      <c r="B72" s="36">
        <v>64</v>
      </c>
      <c r="C72" s="3" t="s">
        <v>52</v>
      </c>
      <c r="D72" s="19">
        <v>4118</v>
      </c>
      <c r="E72" s="3" t="s">
        <v>38</v>
      </c>
      <c r="F72" s="14">
        <v>45632.325243055559</v>
      </c>
      <c r="G72" s="56" t="str">
        <f>HYPERLINK("B:\thuctd.github.io\NiemYet\02-UBNDTinh\241126-6802_SCT-KTQLNL.zip","Open File")</f>
        <v>Open File</v>
      </c>
      <c r="H72" s="48" t="str">
        <f t="shared" ca="1" si="1"/>
        <v>=HYPERLINK("B:\thuctd.github.io\NiemYet\02-UBNDTinh\241126-6802_SCT-KTQLNL.zip";"Open File")</v>
      </c>
    </row>
    <row r="73" spans="1:8" ht="19.95" customHeight="1" x14ac:dyDescent="0.25">
      <c r="A73" s="6" t="str">
        <f t="shared" ref="A73:A136" ca="1" si="2" xml:space="preserve"> $A$5&amp;$A$6&amp;SUBSTITUTE(C73,".pdf","")</f>
        <v>202508241126-UBND-3565QD-cong bo danh muc thu tuc hanh chinh quy trinh noi bo, dien tu trong linh vuc Dien luc</v>
      </c>
      <c r="B73" s="36">
        <v>65</v>
      </c>
      <c r="C73" s="3" t="s">
        <v>53</v>
      </c>
      <c r="D73" s="19">
        <v>3562</v>
      </c>
      <c r="E73" s="3" t="s">
        <v>7</v>
      </c>
      <c r="F73" s="14">
        <v>45638.32534722222</v>
      </c>
      <c r="G73" s="64" t="str">
        <f>HYPERLINK("B:\thuctd.github.io\NiemYet\02-UBNDTinh\241126-UBND-3565QD-cong bo danh muc thu tuc hanh chinh quy trinh noi bo, dien tu trong linh vuc Dien luc.pdf","Open File")</f>
        <v>Open File</v>
      </c>
      <c r="H73" s="48" t="str">
        <f t="shared" ca="1" si="1"/>
        <v>=HYPERLINK("B:\thuctd.github.io\NiemYet\02-UBNDTinh\241126-UBND-3565QD-cong bo danh muc thu tuc hanh chinh quy trinh noi bo, dien tu trong linh vuc Dien luc.pdf";"Open File")</v>
      </c>
    </row>
    <row r="74" spans="1:8" ht="19.95" customHeight="1" x14ac:dyDescent="0.25">
      <c r="A74" s="6" t="str">
        <f t="shared" ca="1" si="2"/>
        <v>202508250208-NDCP-18-Hướng dẫn luật Điện lực</v>
      </c>
      <c r="B74" s="36">
        <v>66</v>
      </c>
      <c r="C74" s="3" t="s">
        <v>33</v>
      </c>
      <c r="D74" s="19">
        <v>2859</v>
      </c>
      <c r="E74" s="3" t="s">
        <v>7</v>
      </c>
      <c r="F74" s="14">
        <v>45926.607175925928</v>
      </c>
      <c r="G74" s="56" t="str">
        <f>HYPERLINK("B:\thuctd.github.io\NiemYet\01-Bo-Nganh-Luat\250208-NDCP-18-Hướng dẫn luật Điện lực.pdf","Open File")</f>
        <v>Open File</v>
      </c>
      <c r="H74" s="48" t="str">
        <f t="shared" ref="H74:H137" ca="1" si="3">_xlfn.FORMULATEXT(G74)</f>
        <v>=HYPERLINK("B:\thuctd.github.io\NiemYet\01-Bo-Nganh-Luat\250208-NDCP-18-Hướng dẫn luật Điện lực.pdf";"Open File")</v>
      </c>
    </row>
    <row r="75" spans="1:8" ht="19.95" customHeight="1" x14ac:dyDescent="0.25">
      <c r="A75" s="6" t="str">
        <f t="shared" ca="1" si="2"/>
        <v>202508250326-CDL-145-trien khai ND 57</v>
      </c>
      <c r="B75" s="36">
        <v>67</v>
      </c>
      <c r="C75" s="3" t="s">
        <v>34</v>
      </c>
      <c r="D75" s="19">
        <v>5251</v>
      </c>
      <c r="E75" s="3" t="s">
        <v>7</v>
      </c>
      <c r="F75" s="14">
        <v>45926.607175925928</v>
      </c>
      <c r="G75" s="64" t="str">
        <f>HYPERLINK("B:\thuctd.github.io\NiemYet\01-Bo-Nganh-Luat\250326-CDL-145-trien khai ND 57.pdf","Open File")</f>
        <v>Open File</v>
      </c>
      <c r="H75" s="48" t="str">
        <f t="shared" ca="1" si="3"/>
        <v>=HYPERLINK("B:\thuctd.github.io\NiemYet\01-Bo-Nganh-Luat\250326-CDL-145-trien khai ND 57.pdf";"Open File")</v>
      </c>
    </row>
    <row r="76" spans="1:8" ht="19.95" customHeight="1" x14ac:dyDescent="0.25">
      <c r="A76" s="6" t="str">
        <f t="shared" ca="1" si="2"/>
        <v>202508250509-BCT-QD1279-Giá bán điện</v>
      </c>
      <c r="B76" s="36">
        <v>68</v>
      </c>
      <c r="C76" s="3" t="s">
        <v>71</v>
      </c>
      <c r="D76" s="19">
        <v>3876</v>
      </c>
      <c r="E76" s="3" t="s">
        <v>7</v>
      </c>
      <c r="F76" s="14">
        <v>45790.682986111111</v>
      </c>
      <c r="G76" s="56" t="str">
        <f>HYPERLINK("B:\thuctd.github.io\NiemYet\07-GiaDien\250509-BCT-QD1279-Giá bán điện.pdf","Open File")</f>
        <v>Open File</v>
      </c>
      <c r="H76" s="48" t="str">
        <f t="shared" ca="1" si="3"/>
        <v>=HYPERLINK("B:\thuctd.github.io\NiemYet\07-GiaDien\250509-BCT-QD1279-Giá bán điện.pdf";"Open File")</v>
      </c>
    </row>
    <row r="77" spans="1:8" ht="19.95" customHeight="1" x14ac:dyDescent="0.25">
      <c r="A77" s="6" t="str">
        <f t="shared" ca="1" si="2"/>
        <v>202508250627-530 UBCTQG_Thong bao so 530 chap thuan HDMBD SH theo mau cua EVNSPC (27-6-2025)</v>
      </c>
      <c r="B77" s="36">
        <v>69</v>
      </c>
      <c r="C77" s="3" t="s">
        <v>132</v>
      </c>
      <c r="D77" s="19">
        <v>4004</v>
      </c>
      <c r="E77" s="3" t="s">
        <v>7</v>
      </c>
      <c r="F77" s="14">
        <v>45854.401516203703</v>
      </c>
      <c r="G77" s="64" t="str">
        <f>HYPERLINK("B:\thuctd.github.io\NiemYet\10-ThuTucCapDien\250627-530 UBCTQG_Thong bao so 530 chap thuan HDMBD SH theo mau cua EVNSPC (27-6-2025).pdf","Open File")</f>
        <v>Open File</v>
      </c>
      <c r="H77" s="48" t="str">
        <f t="shared" ca="1" si="3"/>
        <v>=HYPERLINK("B:\thuctd.github.io\NiemYet\10-ThuTucCapDien\250627-530 UBCTQG_Thong bao so 530 chap thuan HDMBD SH theo mau cua EVNSPC (27-6-2025).pdf";"Open File")</v>
      </c>
    </row>
    <row r="78" spans="1:8" ht="19.95" customHeight="1" x14ac:dyDescent="0.25">
      <c r="A78" s="6" t="str">
        <f t="shared" ca="1" si="2"/>
        <v>202508250709-PCĐN-KD-358-MauHopDongSinhHoat.zip</v>
      </c>
      <c r="B78" s="36">
        <v>70</v>
      </c>
      <c r="C78" s="3" t="s">
        <v>136</v>
      </c>
      <c r="D78" s="19">
        <v>3991</v>
      </c>
      <c r="E78" s="45" t="s">
        <v>38</v>
      </c>
      <c r="F78" s="44">
        <v>45854.756747685184</v>
      </c>
      <c r="G78" s="56" t="str">
        <f>HYPERLINK("B:\thuctd.github.io\NiemYet\11-MauBieuDichVu\250709-PCĐN-KD-358-MauHopDongSinhHoat.zip","Open File")</f>
        <v>Open File</v>
      </c>
      <c r="H78" s="48" t="str">
        <f t="shared" ca="1" si="3"/>
        <v>=HYPERLINK("B:\thuctd.github.io\NiemYet\11-MauBieuDichVu\250709-PCĐN-KD-358-MauHopDongSinhHoat.zip";"Open File")</v>
      </c>
    </row>
    <row r="79" spans="1:8" ht="19.95" customHeight="1" x14ac:dyDescent="0.25">
      <c r="A79" s="6" t="str">
        <f t="shared" ca="1" si="2"/>
        <v>202508250909-SCT-2332-SoXD-QLHĐ-VLXD 10.09.25 (1)</v>
      </c>
      <c r="B79" s="36">
        <v>71</v>
      </c>
      <c r="C79" s="3" t="s">
        <v>133</v>
      </c>
      <c r="D79" s="19">
        <v>1035</v>
      </c>
      <c r="E79" s="3" t="s">
        <v>7</v>
      </c>
      <c r="F79" s="14">
        <v>45917.556446759256</v>
      </c>
      <c r="G79" s="64" t="str">
        <f>HYPERLINK("B:\thuctd.github.io\NiemYet\10-ThuTucCapDien\250909-SCT-2332-SoXD-QLHĐ-VLXD 10.09.25 (1).pdf","Open File")</f>
        <v>Open File</v>
      </c>
      <c r="H79" s="48" t="str">
        <f t="shared" ca="1" si="3"/>
        <v>=HYPERLINK("B:\thuctd.github.io\NiemYet\10-ThuTucCapDien\250909-SCT-2332-SoXD-QLHĐ-VLXD 10.09.25 (1).pdf";"Open File")</v>
      </c>
    </row>
    <row r="80" spans="1:8" ht="19.95" customHeight="1" x14ac:dyDescent="0.25">
      <c r="A80" s="6" t="str">
        <f t="shared" ca="1" si="2"/>
        <v>202508250912-EVN-5896- Triển khai Thông tư 46-2025-TT-BCT (12.9.2025)-phí đóng cắt điện</v>
      </c>
      <c r="B80" s="36">
        <v>72</v>
      </c>
      <c r="C80" s="3" t="s">
        <v>35</v>
      </c>
      <c r="D80" s="19">
        <v>544</v>
      </c>
      <c r="E80" s="3" t="s">
        <v>7</v>
      </c>
      <c r="F80" s="14">
        <v>45926.607175925928</v>
      </c>
      <c r="G80" s="64" t="str">
        <f>HYPERLINK("B:\thuctd.github.io\NiemYet\01-Bo-Nganh-Luat\250912-EVN-5896- Triển khai Thông tư 46-2025-TT-BCT (12.9.2025)-phí đóng cắt điện.pdf","Open File")</f>
        <v>Open File</v>
      </c>
      <c r="H80" s="48" t="str">
        <f t="shared" ca="1" si="3"/>
        <v>=HYPERLINK("B:\thuctd.github.io\NiemYet\01-Bo-Nganh-Luat\250912-EVN-5896- Triển khai Thông tư 46-2025-TT-BCT (12.9.2025)-phí đóng cắt điện.pdf";"Open File")</v>
      </c>
    </row>
    <row r="81" spans="1:8" ht="19.95" customHeight="1" x14ac:dyDescent="0.25">
      <c r="A81" s="6" t="str">
        <f t="shared" ca="1" si="2"/>
        <v>202508250922-BCT-TT46-Sửa đổi, bổ sung chi phí ngừng cấp điện</v>
      </c>
      <c r="B81" s="36">
        <v>73</v>
      </c>
      <c r="C81" s="3" t="s">
        <v>36</v>
      </c>
      <c r="D81" s="19">
        <v>5566</v>
      </c>
      <c r="E81" s="3" t="s">
        <v>7</v>
      </c>
      <c r="F81" s="14">
        <v>45926.607175925928</v>
      </c>
      <c r="G81" s="56" t="str">
        <f>HYPERLINK("B:\thuctd.github.io\NiemYet\01-Bo-Nganh-Luat\250922-BCT-TT46-Sửa đổi, bổ sung chi phí ngừng cấp điện.pdf","Open File")</f>
        <v>Open File</v>
      </c>
      <c r="H81" s="48" t="str">
        <f t="shared" ca="1" si="3"/>
        <v>=HYPERLINK("B:\thuctd.github.io\NiemYet\01-Bo-Nganh-Luat\250922-BCT-TT46-Sửa đổi, bổ sung chi phí ngừng cấp điện.pdf";"Open File")</v>
      </c>
    </row>
    <row r="82" spans="1:8" ht="19.95" customHeight="1" x14ac:dyDescent="0.25">
      <c r="A82" s="6" t="str">
        <f t="shared" ca="1" si="2"/>
        <v>202508270_PCĐN-KD-bổ sung lịch ghi chỉ số công tơ trong tháng 01-2025.zip</v>
      </c>
      <c r="B82" s="36">
        <v>74</v>
      </c>
      <c r="C82" s="3" t="s">
        <v>79</v>
      </c>
      <c r="D82" s="19">
        <v>15926</v>
      </c>
      <c r="E82" s="3" t="s">
        <v>38</v>
      </c>
      <c r="F82" s="14">
        <v>45688.930023148147</v>
      </c>
      <c r="G82" s="56" t="str">
        <f>HYPERLINK("B:\thuctd.github.io\NiemYet\08-LichGhiChiSo\270_PCĐN-KD-bổ sung lịch ghi chỉ số công tơ trong tháng 01-2025.zip","Open File")</f>
        <v>Open File</v>
      </c>
      <c r="H82" s="48" t="str">
        <f t="shared" ca="1" si="3"/>
        <v>=HYPERLINK("B:\thuctd.github.io\NiemYet\08-LichGhiChiSo\270_PCĐN-KD-bổ sung lịch ghi chỉ số công tơ trong tháng 01-2025.zip";"Open File")</v>
      </c>
    </row>
    <row r="83" spans="1:8" ht="19.95" customHeight="1" x14ac:dyDescent="0.25">
      <c r="A83" s="6" t="str">
        <f t="shared" ca="1" si="2"/>
        <v>2025083971_PCĐN-KD.zip</v>
      </c>
      <c r="B83" s="36">
        <v>75</v>
      </c>
      <c r="C83" s="3" t="s">
        <v>111</v>
      </c>
      <c r="D83" s="19">
        <v>754</v>
      </c>
      <c r="E83" s="3" t="s">
        <v>38</v>
      </c>
      <c r="F83" s="14">
        <v>45495.595625000002</v>
      </c>
      <c r="G83" s="56" t="str">
        <f>HYPERLINK("B:\thuctd.github.io\NiemYet\08-LichGhiChiSo\Lich GCS hàng tháng từ năm 2022 - 2024\Năm 2024\3971_PCĐN-KD.zip","Open File")</f>
        <v>Open File</v>
      </c>
      <c r="H83" s="48" t="str">
        <f t="shared" ca="1" si="3"/>
        <v>=HYPERLINK("B:\thuctd.github.io\NiemYet\08-LichGhiChiSo\Lich GCS hàng tháng từ năm 2022 - 2024\Năm 2024\3971_PCĐN-KD.zip";"Open File")</v>
      </c>
    </row>
    <row r="84" spans="1:8" ht="19.95" customHeight="1" x14ac:dyDescent="0.25">
      <c r="A84" s="6" t="str">
        <f t="shared" ca="1" si="2"/>
        <v>2025084221_EVN-KDMBĐ.zip</v>
      </c>
      <c r="B84" s="36">
        <v>76</v>
      </c>
      <c r="C84" s="3" t="s">
        <v>37</v>
      </c>
      <c r="D84" s="19">
        <v>33165</v>
      </c>
      <c r="E84" s="3" t="s">
        <v>38</v>
      </c>
      <c r="F84" s="14">
        <v>45926.607175925928</v>
      </c>
      <c r="G84" s="56" t="str">
        <f>HYPERLINK("B:\thuctd.github.io\NiemYet\01-Bo-Nganh-Luat\4221_EVN-KDMBĐ.zip","Open File")</f>
        <v>Open File</v>
      </c>
      <c r="H84" s="48" t="str">
        <f t="shared" ca="1" si="3"/>
        <v>=HYPERLINK("B:\thuctd.github.io\NiemYet\01-Bo-Nganh-Luat\4221_EVN-KDMBĐ.zip";"Open File")</v>
      </c>
    </row>
    <row r="85" spans="1:8" ht="19.95" customHeight="1" x14ac:dyDescent="0.25">
      <c r="A85" s="6" t="str">
        <f t="shared" ca="1" si="2"/>
        <v>2025084898_PCĐN-KD-lịch ghi chỉ số công tơ khách hàng trong tháng 07-2024.zip</v>
      </c>
      <c r="B85" s="36">
        <v>77</v>
      </c>
      <c r="C85" s="3" t="s">
        <v>80</v>
      </c>
      <c r="D85" s="19">
        <v>1206</v>
      </c>
      <c r="E85" s="3" t="s">
        <v>38</v>
      </c>
      <c r="F85" s="14">
        <v>45511.553981481484</v>
      </c>
      <c r="G85" s="64" t="str">
        <f>HYPERLINK("B:\thuctd.github.io\NiemYet\08-LichGhiChiSo\4898_PCĐN-KD-lịch ghi chỉ số công tơ khách hàng trong tháng 07-2024.zip","Open File")</f>
        <v>Open File</v>
      </c>
      <c r="H85" s="48" t="str">
        <f t="shared" ca="1" si="3"/>
        <v>=HYPERLINK("B:\thuctd.github.io\NiemYet\08-LichGhiChiSo\4898_PCĐN-KD-lịch ghi chỉ số công tơ khách hàng trong tháng 07-2024.zip";"Open File")</v>
      </c>
    </row>
    <row r="86" spans="1:8" ht="19.95" customHeight="1" x14ac:dyDescent="0.25">
      <c r="A86" s="6" t="str">
        <f t="shared" ca="1" si="2"/>
        <v>20250850_2010_QH12_Quy định sử dụng năng lượng tiết kiệm  và hiệu quả.doc</v>
      </c>
      <c r="B86" s="36">
        <v>78</v>
      </c>
      <c r="C86" s="3" t="s">
        <v>63</v>
      </c>
      <c r="D86" s="19">
        <v>106</v>
      </c>
      <c r="E86" s="3" t="s">
        <v>41</v>
      </c>
      <c r="F86" s="14">
        <v>45442.569722222222</v>
      </c>
      <c r="G86" s="64" t="str">
        <f>HYPERLINK("B:\thuctd.github.io\NiemYet\05-AnToanDien-PCTT-CNCH\50_2010_QH12_Quy định sử dụng năng lượng tiết kiệm  và hiệu quả.doc","Open File")</f>
        <v>Open File</v>
      </c>
      <c r="H86" s="48" t="str">
        <f t="shared" ca="1" si="3"/>
        <v>=HYPERLINK("B:\thuctd.github.io\NiemYet\05-AnToanDien-PCTT-CNCH\50_2010_QH12_Quy định sử dụng năng lượng tiết kiệm  và hiệu quả.doc";"Open File")</v>
      </c>
    </row>
    <row r="87" spans="1:8" ht="19.95" customHeight="1" x14ac:dyDescent="0.25">
      <c r="A87" s="6" t="str">
        <f t="shared" ca="1" si="2"/>
        <v>20250868_2020_QH14_435315.doc</v>
      </c>
      <c r="B87" s="36">
        <v>79</v>
      </c>
      <c r="C87" s="3" t="s">
        <v>42</v>
      </c>
      <c r="D87" s="19">
        <v>122</v>
      </c>
      <c r="E87" s="3" t="s">
        <v>41</v>
      </c>
      <c r="F87" s="44">
        <v>45926.607175925928</v>
      </c>
      <c r="G87" s="56" t="str">
        <f>HYPERLINK("B:\thuctd.github.io\NiemYet\01-Bo-Nganh-Luat\Word\68_2020_QH14_435315.doc","Open File")</f>
        <v>Open File</v>
      </c>
      <c r="H87" s="48" t="str">
        <f t="shared" ca="1" si="3"/>
        <v>=HYPERLINK("B:\thuctd.github.io\NiemYet\01-Bo-Nganh-Luat\Word\68_2020_QH14_435315.doc";"Open File")</v>
      </c>
    </row>
    <row r="88" spans="1:8" ht="19.95" customHeight="1" x14ac:dyDescent="0.25">
      <c r="A88" s="6" t="str">
        <f t="shared" ca="1" si="2"/>
        <v>202508Ban hành Lịch đổi ngày  ghi chỉ số công tơ khách hàng năm 2024 (Quý 3)</v>
      </c>
      <c r="B88" s="36">
        <v>80</v>
      </c>
      <c r="C88" s="3" t="s">
        <v>112</v>
      </c>
      <c r="D88" s="19">
        <v>598</v>
      </c>
      <c r="E88" s="3" t="s">
        <v>7</v>
      </c>
      <c r="F88" s="14">
        <v>45495.595578703702</v>
      </c>
      <c r="G88" s="64" t="str">
        <f>HYPERLINK("B:\thuctd.github.io\NiemYet\08-LichGhiChiSo\Lich GCS hàng tháng từ năm 2022 - 2024\Năm 2024\Ban hành Lịch đổi ngày  ghi chỉ số công tơ khách hàng năm 2024 (Quý 3).pdf","Open File")</f>
        <v>Open File</v>
      </c>
      <c r="H88" s="48" t="str">
        <f t="shared" ca="1" si="3"/>
        <v>=HYPERLINK("B:\thuctd.github.io\NiemYet\08-LichGhiChiSo\Lich GCS hàng tháng từ năm 2022 - 2024\Năm 2024\Ban hành Lịch đổi ngày  ghi chỉ số công tơ khách hàng năm 2024 (Quý 3).pdf";"Open File")</v>
      </c>
    </row>
    <row r="89" spans="1:8" ht="19.95" customHeight="1" x14ac:dyDescent="0.25">
      <c r="A89" s="6" t="str">
        <f t="shared" ca="1" si="2"/>
        <v>202508Ban hành Lịch đổi ngày  ghi chỉ số công tơ khách hàng Tháng 07.2024</v>
      </c>
      <c r="B89" s="36">
        <v>81</v>
      </c>
      <c r="C89" s="3" t="s">
        <v>113</v>
      </c>
      <c r="D89" s="19">
        <v>594</v>
      </c>
      <c r="E89" s="3" t="s">
        <v>7</v>
      </c>
      <c r="F89" s="44">
        <v>45495.595092592594</v>
      </c>
      <c r="G89" s="56" t="str">
        <f>HYPERLINK("B:\thuctd.github.io\NiemYet\08-LichGhiChiSo\Lich GCS hàng tháng từ năm 2022 - 2024\Năm 2024\Ban hành Lịch đổi ngày  ghi chỉ số công tơ khách hàng Tháng 07.2024.pdf","Open File")</f>
        <v>Open File</v>
      </c>
      <c r="H89" s="48" t="str">
        <f t="shared" ca="1" si="3"/>
        <v>=HYPERLINK("B:\thuctd.github.io\NiemYet\08-LichGhiChiSo\Lich GCS hàng tháng từ năm 2022 - 2024\Năm 2024\Ban hành Lịch đổi ngày  ghi chỉ số công tơ khách hàng Tháng 07.2024.pdf";"Open File")</v>
      </c>
    </row>
    <row r="90" spans="1:8" ht="19.95" customHeight="1" x14ac:dyDescent="0.25">
      <c r="A90" s="6" t="str">
        <f t="shared" ca="1" si="2"/>
        <v>202508Bia1</v>
      </c>
      <c r="B90" s="36">
        <v>82</v>
      </c>
      <c r="C90" s="3" t="s">
        <v>39</v>
      </c>
      <c r="D90" s="19">
        <v>345</v>
      </c>
      <c r="E90" s="3" t="s">
        <v>7</v>
      </c>
      <c r="F90" s="14">
        <v>45926.607175925928</v>
      </c>
      <c r="G90" s="56" t="str">
        <f>HYPERLINK("B:\thuctd.github.io\NiemYet\01-Bo-Nganh-Luat\Bia1.pdf","Open File")</f>
        <v>Open File</v>
      </c>
      <c r="H90" s="48" t="str">
        <f t="shared" ca="1" si="3"/>
        <v>=HYPERLINK("B:\thuctd.github.io\NiemYet\01-Bo-Nganh-Luat\Bia1.pdf";"Open File")</v>
      </c>
    </row>
    <row r="91" spans="1:8" ht="19.95" customHeight="1" x14ac:dyDescent="0.25">
      <c r="A91" s="6" t="str">
        <f t="shared" ca="1" si="2"/>
        <v>202508DLXL_Thông báo thay đổi lịch Ghi chỉ số điện</v>
      </c>
      <c r="B91" s="36">
        <v>83</v>
      </c>
      <c r="C91" s="3" t="s">
        <v>114</v>
      </c>
      <c r="D91" s="19">
        <v>569</v>
      </c>
      <c r="E91" s="3" t="s">
        <v>7</v>
      </c>
      <c r="F91" s="14">
        <v>45495.595451388886</v>
      </c>
      <c r="G91" s="64" t="str">
        <f>HYPERLINK("B:\thuctd.github.io\NiemYet\08-LichGhiChiSo\Lich GCS hàng tháng từ năm 2022 - 2024\Năm 2024\DLXL_Thông báo thay đổi lịch Ghi chỉ số điện.pdf","Open File")</f>
        <v>Open File</v>
      </c>
      <c r="H91" s="48" t="str">
        <f t="shared" ca="1" si="3"/>
        <v>=HYPERLINK("B:\thuctd.github.io\NiemYet\08-LichGhiChiSo\Lich GCS hàng tháng từ năm 2022 - 2024\Năm 2024\DLXL_Thông báo thay đổi lịch Ghi chỉ số điện.pdf";"Open File")</v>
      </c>
    </row>
    <row r="92" spans="1:8" ht="19.95" customHeight="1" x14ac:dyDescent="0.25">
      <c r="A92" s="6" t="str">
        <f t="shared" ca="1" si="2"/>
        <v>202508DS các điểm có thu tiền điện trong tháng 5 -2024.xlsx</v>
      </c>
      <c r="B92" s="36">
        <v>84</v>
      </c>
      <c r="C92" s="3" t="s">
        <v>121</v>
      </c>
      <c r="D92" s="19">
        <v>112</v>
      </c>
      <c r="E92" s="3" t="s">
        <v>62</v>
      </c>
      <c r="F92" s="14">
        <v>45926.561863425923</v>
      </c>
      <c r="G92" s="56" t="str">
        <f>HYPERLINK("B:\thuctd.github.io\NiemYet\09-DanhSachDiemThuHo\DS các điểm có thu tiền điện trong tháng 5 -2024.xlsx","Open File")</f>
        <v>Open File</v>
      </c>
      <c r="H92" s="48" t="str">
        <f t="shared" ca="1" si="3"/>
        <v>=HYPERLINK("B:\thuctd.github.io\NiemYet\09-DanhSachDiemThuHo\DS các điểm có thu tiền điện trong tháng 5 -2024.xlsx";"Open File")</v>
      </c>
    </row>
    <row r="93" spans="1:8" ht="19.95" customHeight="1" x14ac:dyDescent="0.25">
      <c r="A93" s="6" t="str">
        <f t="shared" ca="1" si="2"/>
        <v>202508EVN_VB 1342 cua EVN gui cac TCTDL tu soan mau HDMBD SH va NSH</v>
      </c>
      <c r="B93" s="36">
        <v>85</v>
      </c>
      <c r="C93" s="3" t="s">
        <v>137</v>
      </c>
      <c r="D93" s="19">
        <v>1248</v>
      </c>
      <c r="E93" s="3" t="s">
        <v>7</v>
      </c>
      <c r="F93" s="14">
        <v>45867.33216435185</v>
      </c>
      <c r="G93" s="64" t="str">
        <f>HYPERLINK("B:\thuctd.github.io\NiemYet\11-MauBieuDichVu\EVN_VB 1342 cua EVN gui cac TCTDL tu soan mau HDMBD SH va NSH.pdf","Open File")</f>
        <v>Open File</v>
      </c>
      <c r="H93" s="48" t="str">
        <f t="shared" ca="1" si="3"/>
        <v>=HYPERLINK("B:\thuctd.github.io\NiemYet\11-MauBieuDichVu\EVN_VB 1342 cua EVN gui cac TCTDL tu soan mau HDMBD SH va NSH.pdf";"Open File")</v>
      </c>
    </row>
    <row r="94" spans="1:8" ht="19.95" customHeight="1" x14ac:dyDescent="0.25">
      <c r="A94" s="6" t="str">
        <f t="shared" ca="1" si="2"/>
        <v>202508FILE TONG HOP THAY DOI NGAY GCS.xlsx</v>
      </c>
      <c r="B94" s="36">
        <v>86</v>
      </c>
      <c r="C94" s="3" t="s">
        <v>81</v>
      </c>
      <c r="D94" s="19">
        <v>378</v>
      </c>
      <c r="E94" s="3" t="s">
        <v>62</v>
      </c>
      <c r="F94" s="14">
        <v>45619.442627314813</v>
      </c>
      <c r="G94" s="56" t="str">
        <f>HYPERLINK("B:\thuctd.github.io\NiemYet\08-LichGhiChiSo\FILE TONG HOP THAY DOI NGAY GCS.xlsx","Open File")</f>
        <v>Open File</v>
      </c>
      <c r="H94" s="48" t="str">
        <f t="shared" ca="1" si="3"/>
        <v>=HYPERLINK("B:\thuctd.github.io\NiemYet\08-LichGhiChiSo\FILE TONG HOP THAY DOI NGAY GCS.xlsx";"Open File")</v>
      </c>
    </row>
    <row r="95" spans="1:8" ht="19.95" customHeight="1" x14ac:dyDescent="0.25">
      <c r="A95" s="6" t="str">
        <f t="shared" ca="1" si="2"/>
        <v>202508FILE TONG HOP THAY DOI NGAY GCS.xlsx</v>
      </c>
      <c r="B95" s="36">
        <v>87</v>
      </c>
      <c r="C95" s="3" t="s">
        <v>81</v>
      </c>
      <c r="D95" s="19">
        <v>379</v>
      </c>
      <c r="E95" s="3" t="s">
        <v>62</v>
      </c>
      <c r="F95" s="14">
        <v>45619.458425925928</v>
      </c>
      <c r="G95" s="64" t="str">
        <f>HYPERLINK("B:\thuctd.github.io\NiemYet\08-LichGhiChiSo\Lich GCS hàng tháng từ năm 2022 - 2024\Năm 2024\FILE TONG HOP THAY DOI NGAY GCS.xlsx","Open File")</f>
        <v>Open File</v>
      </c>
      <c r="H95" s="48" t="str">
        <f t="shared" ca="1" si="3"/>
        <v>=HYPERLINK("B:\thuctd.github.io\NiemYet\08-LichGhiChiSo\Lich GCS hàng tháng từ năm 2022 - 2024\Năm 2024\FILE TONG HOP THAY DOI NGAY GCS.xlsx";"Open File")</v>
      </c>
    </row>
    <row r="96" spans="1:8" ht="19.95" customHeight="1" x14ac:dyDescent="0.25">
      <c r="A96" s="6" t="str">
        <f t="shared" ca="1" si="2"/>
        <v>202508Lịch ghi chỉ số tháng 01.2022.xlsx</v>
      </c>
      <c r="B96" s="36">
        <v>88</v>
      </c>
      <c r="C96" s="3" t="s">
        <v>87</v>
      </c>
      <c r="D96" s="19">
        <v>199</v>
      </c>
      <c r="E96" s="3" t="s">
        <v>62</v>
      </c>
      <c r="F96" s="14">
        <v>45442.644942129627</v>
      </c>
      <c r="G96" s="64" t="str">
        <f>HYPERLINK("B:\thuctd.github.io\NiemYet\08-LichGhiChiSo\Lich GCS hàng tháng từ năm 2022 - 2024\Năm 2022\Lịch ghi chỉ số tháng 01.2022.xlsx","Open File")</f>
        <v>Open File</v>
      </c>
      <c r="H96" s="48" t="str">
        <f t="shared" ca="1" si="3"/>
        <v>=HYPERLINK("B:\thuctd.github.io\NiemYet\08-LichGhiChiSo\Lich GCS hàng tháng từ năm 2022 - 2024\Năm 2022\Lịch ghi chỉ số tháng 01.2022.xlsx";"Open File")</v>
      </c>
    </row>
    <row r="97" spans="1:8" ht="19.95" customHeight="1" x14ac:dyDescent="0.25">
      <c r="A97" s="6" t="str">
        <f t="shared" ca="1" si="2"/>
        <v>202508Lịch ghi chỉ số tháng 01.2023.xlsx</v>
      </c>
      <c r="B97" s="36">
        <v>89</v>
      </c>
      <c r="C97" s="3" t="s">
        <v>99</v>
      </c>
      <c r="D97" s="19">
        <v>258</v>
      </c>
      <c r="E97" s="45" t="s">
        <v>62</v>
      </c>
      <c r="F97" s="44">
        <v>45442.650358796294</v>
      </c>
      <c r="G97" s="56" t="str">
        <f>HYPERLINK("B:\thuctd.github.io\NiemYet\08-LichGhiChiSo\Lich GCS hàng tháng từ năm 2022 - 2024\Năm 2023\Lịch ghi chỉ số tháng 01.2023.xlsx","Open File")</f>
        <v>Open File</v>
      </c>
      <c r="H97" s="48" t="str">
        <f t="shared" ca="1" si="3"/>
        <v>=HYPERLINK("B:\thuctd.github.io\NiemYet\08-LichGhiChiSo\Lich GCS hàng tháng từ năm 2022 - 2024\Năm 2023\Lịch ghi chỉ số tháng 01.2023.xlsx";"Open File")</v>
      </c>
    </row>
    <row r="98" spans="1:8" ht="19.95" customHeight="1" x14ac:dyDescent="0.25">
      <c r="A98" s="6" t="str">
        <f t="shared" ca="1" si="2"/>
        <v>202508Lịch ghi chỉ số tháng 01.2024.xlsx</v>
      </c>
      <c r="B98" s="36">
        <v>90</v>
      </c>
      <c r="C98" s="3" t="s">
        <v>115</v>
      </c>
      <c r="D98" s="19">
        <v>11564</v>
      </c>
      <c r="E98" s="3" t="s">
        <v>62</v>
      </c>
      <c r="F98" s="14">
        <v>45619.45113425926</v>
      </c>
      <c r="G98" s="56" t="str">
        <f>HYPERLINK("B:\thuctd.github.io\NiemYet\08-LichGhiChiSo\Lich GCS hàng tháng từ năm 2022 - 2024\Năm 2024\Lịch ghi chỉ số tháng 01.2024.xlsx","Open File")</f>
        <v>Open File</v>
      </c>
      <c r="H98" s="48" t="str">
        <f t="shared" ca="1" si="3"/>
        <v>=HYPERLINK("B:\thuctd.github.io\NiemYet\08-LichGhiChiSo\Lich GCS hàng tháng từ năm 2022 - 2024\Năm 2024\Lịch ghi chỉ số tháng 01.2024.xlsx";"Open File")</v>
      </c>
    </row>
    <row r="99" spans="1:8" ht="19.95" customHeight="1" x14ac:dyDescent="0.25">
      <c r="A99" s="6" t="str">
        <f t="shared" ca="1" si="2"/>
        <v>202508Lịch ghi chỉ số tháng 02.2022.xlsx</v>
      </c>
      <c r="B99" s="36">
        <v>91</v>
      </c>
      <c r="C99" s="3" t="s">
        <v>88</v>
      </c>
      <c r="D99" s="19">
        <v>199</v>
      </c>
      <c r="E99" s="3" t="s">
        <v>62</v>
      </c>
      <c r="F99" s="14">
        <v>45442.645937499998</v>
      </c>
      <c r="G99" s="64" t="str">
        <f>HYPERLINK("B:\thuctd.github.io\NiemYet\08-LichGhiChiSo\Lich GCS hàng tháng từ năm 2022 - 2024\Năm 2022\Lịch ghi chỉ số tháng 02.2022.xlsx","Open File")</f>
        <v>Open File</v>
      </c>
      <c r="H99" s="48" t="str">
        <f t="shared" ca="1" si="3"/>
        <v>=HYPERLINK("B:\thuctd.github.io\NiemYet\08-LichGhiChiSo\Lich GCS hàng tháng từ năm 2022 - 2024\Năm 2022\Lịch ghi chỉ số tháng 02.2022.xlsx";"Open File")</v>
      </c>
    </row>
    <row r="100" spans="1:8" ht="19.95" customHeight="1" x14ac:dyDescent="0.25">
      <c r="A100" s="6" t="str">
        <f t="shared" ca="1" si="2"/>
        <v>202508Lịch ghi chỉ số tháng 02.2023.xlsx</v>
      </c>
      <c r="B100" s="36">
        <v>92</v>
      </c>
      <c r="C100" s="3" t="s">
        <v>100</v>
      </c>
      <c r="D100" s="19">
        <v>262</v>
      </c>
      <c r="E100" s="45" t="s">
        <v>62</v>
      </c>
      <c r="F100" s="14">
        <v>45442.650648148148</v>
      </c>
      <c r="G100" s="56" t="str">
        <f>HYPERLINK("B:\thuctd.github.io\NiemYet\08-LichGhiChiSo\Lich GCS hàng tháng từ năm 2022 - 2024\Năm 2023\Lịch ghi chỉ số tháng 02.2023.xlsx","Open File")</f>
        <v>Open File</v>
      </c>
      <c r="H100" s="48" t="str">
        <f t="shared" ca="1" si="3"/>
        <v>=HYPERLINK("B:\thuctd.github.io\NiemYet\08-LichGhiChiSo\Lich GCS hàng tháng từ năm 2022 - 2024\Năm 2023\Lịch ghi chỉ số tháng 02.2023.xlsx";"Open File")</v>
      </c>
    </row>
    <row r="101" spans="1:8" ht="19.95" customHeight="1" x14ac:dyDescent="0.25">
      <c r="A101" s="6" t="str">
        <f t="shared" ca="1" si="2"/>
        <v>202508Lịch ghi chỉ số tháng 02.2024.xlsx</v>
      </c>
      <c r="B101" s="36">
        <v>93</v>
      </c>
      <c r="C101" s="3" t="s">
        <v>116</v>
      </c>
      <c r="D101" s="19">
        <v>11573</v>
      </c>
      <c r="E101" s="3" t="s">
        <v>62</v>
      </c>
      <c r="F101" s="14">
        <v>45619.452557870369</v>
      </c>
      <c r="G101" s="64" t="str">
        <f>HYPERLINK("B:\thuctd.github.io\NiemYet\08-LichGhiChiSo\Lich GCS hàng tháng từ năm 2022 - 2024\Năm 2024\Lịch ghi chỉ số tháng 02.2024.xlsx","Open File")</f>
        <v>Open File</v>
      </c>
      <c r="H101" s="48" t="str">
        <f t="shared" ca="1" si="3"/>
        <v>=HYPERLINK("B:\thuctd.github.io\NiemYet\08-LichGhiChiSo\Lich GCS hàng tháng từ năm 2022 - 2024\Năm 2024\Lịch ghi chỉ số tháng 02.2024.xlsx";"Open File")</v>
      </c>
    </row>
    <row r="102" spans="1:8" ht="19.95" customHeight="1" x14ac:dyDescent="0.25">
      <c r="A102" s="6" t="str">
        <f t="shared" ca="1" si="2"/>
        <v>202508Lịch ghi chỉ số tháng 03.2022.xlsx</v>
      </c>
      <c r="B102" s="36">
        <v>94</v>
      </c>
      <c r="C102" s="3" t="s">
        <v>89</v>
      </c>
      <c r="D102" s="19">
        <v>208</v>
      </c>
      <c r="E102" s="3" t="s">
        <v>62</v>
      </c>
      <c r="F102" s="14">
        <v>45442.646215277775</v>
      </c>
      <c r="G102" s="56" t="str">
        <f>HYPERLINK("B:\thuctd.github.io\NiemYet\08-LichGhiChiSo\Lich GCS hàng tháng từ năm 2022 - 2024\Năm 2022\Lịch ghi chỉ số tháng 03.2022.xlsx","Open File")</f>
        <v>Open File</v>
      </c>
      <c r="H102" s="48" t="str">
        <f t="shared" ca="1" si="3"/>
        <v>=HYPERLINK("B:\thuctd.github.io\NiemYet\08-LichGhiChiSo\Lich GCS hàng tháng từ năm 2022 - 2024\Năm 2022\Lịch ghi chỉ số tháng 03.2022.xlsx";"Open File")</v>
      </c>
    </row>
    <row r="103" spans="1:8" ht="19.95" customHeight="1" x14ac:dyDescent="0.25">
      <c r="A103" s="6" t="str">
        <f t="shared" ca="1" si="2"/>
        <v>202508Lịch ghi chỉ số tháng 03.2023.xlsx</v>
      </c>
      <c r="B103" s="36">
        <v>95</v>
      </c>
      <c r="C103" s="3" t="s">
        <v>101</v>
      </c>
      <c r="D103" s="19">
        <v>266</v>
      </c>
      <c r="E103" s="3" t="s">
        <v>62</v>
      </c>
      <c r="F103" s="14">
        <v>45442.653356481482</v>
      </c>
      <c r="G103" s="56" t="str">
        <f>HYPERLINK("B:\thuctd.github.io\NiemYet\08-LichGhiChiSo\Lich GCS hàng tháng từ năm 2022 - 2024\Năm 2023\Lịch ghi chỉ số tháng 03.2023.xlsx","Open File")</f>
        <v>Open File</v>
      </c>
      <c r="H103" s="48" t="str">
        <f t="shared" ca="1" si="3"/>
        <v>=HYPERLINK("B:\thuctd.github.io\NiemYet\08-LichGhiChiSo\Lich GCS hàng tháng từ năm 2022 - 2024\Năm 2023\Lịch ghi chỉ số tháng 03.2023.xlsx";"Open File")</v>
      </c>
    </row>
    <row r="104" spans="1:8" ht="19.95" customHeight="1" x14ac:dyDescent="0.25">
      <c r="A104" s="6" t="str">
        <f t="shared" ca="1" si="2"/>
        <v>202508Lịch ghi chỉ số tháng 03.2024.xlsx</v>
      </c>
      <c r="B104" s="36">
        <v>96</v>
      </c>
      <c r="C104" s="3" t="s">
        <v>117</v>
      </c>
      <c r="D104" s="19">
        <v>11600</v>
      </c>
      <c r="E104" s="3" t="s">
        <v>62</v>
      </c>
      <c r="F104" s="14">
        <v>45619.454780092594</v>
      </c>
      <c r="G104" s="64" t="str">
        <f>HYPERLINK("B:\thuctd.github.io\NiemYet\08-LichGhiChiSo\Lich GCS hàng tháng từ năm 2022 - 2024\Năm 2024\Lịch ghi chỉ số tháng 03.2024.xlsx","Open File")</f>
        <v>Open File</v>
      </c>
      <c r="H104" s="48" t="str">
        <f t="shared" ca="1" si="3"/>
        <v>=HYPERLINK("B:\thuctd.github.io\NiemYet\08-LichGhiChiSo\Lich GCS hàng tháng từ năm 2022 - 2024\Năm 2024\Lịch ghi chỉ số tháng 03.2024.xlsx";"Open File")</v>
      </c>
    </row>
    <row r="105" spans="1:8" ht="19.95" customHeight="1" x14ac:dyDescent="0.25">
      <c r="A105" s="6" t="str">
        <f t="shared" ca="1" si="2"/>
        <v>202508Lịch ghi chỉ số tháng 04.2022.xlsx</v>
      </c>
      <c r="B105" s="36">
        <v>97</v>
      </c>
      <c r="C105" s="3" t="s">
        <v>90</v>
      </c>
      <c r="D105" s="19">
        <v>211</v>
      </c>
      <c r="E105" s="3" t="s">
        <v>62</v>
      </c>
      <c r="F105" s="14">
        <v>45442.646689814814</v>
      </c>
      <c r="G105" s="56" t="str">
        <f>HYPERLINK("B:\thuctd.github.io\NiemYet\08-LichGhiChiSo\Lich GCS hàng tháng từ năm 2022 - 2024\Năm 2022\Lịch ghi chỉ số tháng 04.2022.xlsx","Open File")</f>
        <v>Open File</v>
      </c>
      <c r="H105" s="48" t="str">
        <f t="shared" ca="1" si="3"/>
        <v>=HYPERLINK("B:\thuctd.github.io\NiemYet\08-LichGhiChiSo\Lich GCS hàng tháng từ năm 2022 - 2024\Năm 2022\Lịch ghi chỉ số tháng 04.2022.xlsx";"Open File")</v>
      </c>
    </row>
    <row r="106" spans="1:8" ht="19.95" customHeight="1" x14ac:dyDescent="0.25">
      <c r="A106" s="6" t="str">
        <f t="shared" ca="1" si="2"/>
        <v>202508Lịch ghi chỉ số tháng 04.2023.xlsx</v>
      </c>
      <c r="B106" s="36">
        <v>98</v>
      </c>
      <c r="C106" s="3" t="s">
        <v>102</v>
      </c>
      <c r="D106" s="19">
        <v>268</v>
      </c>
      <c r="E106" s="3" t="s">
        <v>62</v>
      </c>
      <c r="F106" s="14">
        <v>45442.653611111113</v>
      </c>
      <c r="G106" s="64" t="str">
        <f>HYPERLINK("B:\thuctd.github.io\NiemYet\08-LichGhiChiSo\Lich GCS hàng tháng từ năm 2022 - 2024\Năm 2023\Lịch ghi chỉ số tháng 04.2023.xlsx","Open File")</f>
        <v>Open File</v>
      </c>
      <c r="H106" s="48" t="str">
        <f t="shared" ca="1" si="3"/>
        <v>=HYPERLINK("B:\thuctd.github.io\NiemYet\08-LichGhiChiSo\Lich GCS hàng tháng từ năm 2022 - 2024\Năm 2023\Lịch ghi chỉ số tháng 04.2023.xlsx";"Open File")</v>
      </c>
    </row>
    <row r="107" spans="1:8" ht="19.95" customHeight="1" x14ac:dyDescent="0.25">
      <c r="A107" s="6" t="str">
        <f t="shared" ca="1" si="2"/>
        <v>202508Lịch ghi chỉ số tháng 04.2024.xlsx</v>
      </c>
      <c r="B107" s="36">
        <v>99</v>
      </c>
      <c r="C107" s="3" t="s">
        <v>118</v>
      </c>
      <c r="D107" s="19">
        <v>11602</v>
      </c>
      <c r="E107" s="45" t="s">
        <v>62</v>
      </c>
      <c r="F107" s="44">
        <v>45619.454479166663</v>
      </c>
      <c r="G107" s="56" t="str">
        <f>HYPERLINK("B:\thuctd.github.io\NiemYet\08-LichGhiChiSo\Lich GCS hàng tháng từ năm 2022 - 2024\Năm 2024\Lịch ghi chỉ số tháng 04.2024.xlsx","Open File")</f>
        <v>Open File</v>
      </c>
      <c r="H107" s="48" t="str">
        <f t="shared" ca="1" si="3"/>
        <v>=HYPERLINK("B:\thuctd.github.io\NiemYet\08-LichGhiChiSo\Lich GCS hàng tháng từ năm 2022 - 2024\Năm 2024\Lịch ghi chỉ số tháng 04.2024.xlsx";"Open File")</v>
      </c>
    </row>
    <row r="108" spans="1:8" ht="19.95" customHeight="1" x14ac:dyDescent="0.25">
      <c r="A108" s="6" t="str">
        <f t="shared" ca="1" si="2"/>
        <v>202508Lịch ghi chỉ số tháng 05.2022.xlsx</v>
      </c>
      <c r="B108" s="36">
        <v>100</v>
      </c>
      <c r="C108" s="3" t="s">
        <v>91</v>
      </c>
      <c r="D108" s="19">
        <v>216</v>
      </c>
      <c r="E108" s="45" t="s">
        <v>62</v>
      </c>
      <c r="F108" s="14">
        <v>45442.647037037037</v>
      </c>
      <c r="G108" s="56" t="str">
        <f>HYPERLINK("B:\thuctd.github.io\NiemYet\08-LichGhiChiSo\Lich GCS hàng tháng từ năm 2022 - 2024\Năm 2022\Lịch ghi chỉ số tháng 05.2022.xlsx","Open File")</f>
        <v>Open File</v>
      </c>
      <c r="H108" s="48" t="str">
        <f t="shared" ca="1" si="3"/>
        <v>=HYPERLINK("B:\thuctd.github.io\NiemYet\08-LichGhiChiSo\Lich GCS hàng tháng từ năm 2022 - 2024\Năm 2022\Lịch ghi chỉ số tháng 05.2022.xlsx";"Open File")</v>
      </c>
    </row>
    <row r="109" spans="1:8" ht="19.95" customHeight="1" x14ac:dyDescent="0.25">
      <c r="A109" s="6" t="str">
        <f t="shared" ca="1" si="2"/>
        <v>202508Lịch ghi chỉ số tháng 05.2023.xlsx</v>
      </c>
      <c r="B109" s="36">
        <v>101</v>
      </c>
      <c r="C109" s="3" t="s">
        <v>103</v>
      </c>
      <c r="D109" s="19">
        <v>271</v>
      </c>
      <c r="E109" s="3" t="s">
        <v>62</v>
      </c>
      <c r="F109" s="14">
        <v>45442.653865740744</v>
      </c>
      <c r="G109" s="64" t="str">
        <f>HYPERLINK("B:\thuctd.github.io\NiemYet\08-LichGhiChiSo\Lich GCS hàng tháng từ năm 2022 - 2024\Năm 2023\Lịch ghi chỉ số tháng 05.2023.xlsx","Open File")</f>
        <v>Open File</v>
      </c>
      <c r="H109" s="48" t="str">
        <f t="shared" ca="1" si="3"/>
        <v>=HYPERLINK("B:\thuctd.github.io\NiemYet\08-LichGhiChiSo\Lich GCS hàng tháng từ năm 2022 - 2024\Năm 2023\Lịch ghi chỉ số tháng 05.2023.xlsx";"Open File")</v>
      </c>
    </row>
    <row r="110" spans="1:8" ht="19.95" customHeight="1" x14ac:dyDescent="0.25">
      <c r="A110" s="6" t="str">
        <f t="shared" ca="1" si="2"/>
        <v>202508Lịch ghi chỉ số tháng 05.2024.xlsx</v>
      </c>
      <c r="B110" s="36">
        <v>102</v>
      </c>
      <c r="C110" s="3" t="s">
        <v>119</v>
      </c>
      <c r="D110" s="19">
        <v>11603</v>
      </c>
      <c r="E110" s="3" t="s">
        <v>62</v>
      </c>
      <c r="F110" s="44">
        <v>45619.455474537041</v>
      </c>
      <c r="G110" s="56" t="str">
        <f>HYPERLINK("B:\thuctd.github.io\NiemYet\08-LichGhiChiSo\Lich GCS hàng tháng từ năm 2022 - 2024\Năm 2024\Lịch ghi chỉ số tháng 05.2024.xlsx","Open File")</f>
        <v>Open File</v>
      </c>
      <c r="H110" s="48" t="str">
        <f t="shared" ca="1" si="3"/>
        <v>=HYPERLINK("B:\thuctd.github.io\NiemYet\08-LichGhiChiSo\Lich GCS hàng tháng từ năm 2022 - 2024\Năm 2024\Lịch ghi chỉ số tháng 05.2024.xlsx";"Open File")</v>
      </c>
    </row>
    <row r="111" spans="1:8" ht="19.95" customHeight="1" x14ac:dyDescent="0.25">
      <c r="A111" s="6" t="str">
        <f t="shared" ca="1" si="2"/>
        <v>202508Lịch ghi chỉ số tháng 06.2022.xlsx</v>
      </c>
      <c r="B111" s="36">
        <v>103</v>
      </c>
      <c r="C111" s="3" t="s">
        <v>92</v>
      </c>
      <c r="D111" s="19">
        <v>221</v>
      </c>
      <c r="E111" s="3" t="s">
        <v>62</v>
      </c>
      <c r="F111" s="14">
        <v>45442.647349537037</v>
      </c>
      <c r="G111" s="56" t="str">
        <f>HYPERLINK("B:\thuctd.github.io\NiemYet\08-LichGhiChiSo\Lich GCS hàng tháng từ năm 2022 - 2024\Năm 2022\Lịch ghi chỉ số tháng 06.2022.xlsx","Open File")</f>
        <v>Open File</v>
      </c>
      <c r="H111" s="48" t="str">
        <f t="shared" ca="1" si="3"/>
        <v>=HYPERLINK("B:\thuctd.github.io\NiemYet\08-LichGhiChiSo\Lich GCS hàng tháng từ năm 2022 - 2024\Năm 2022\Lịch ghi chỉ số tháng 06.2022.xlsx";"Open File")</v>
      </c>
    </row>
    <row r="112" spans="1:8" ht="19.95" customHeight="1" x14ac:dyDescent="0.25">
      <c r="A112" s="6" t="str">
        <f t="shared" ca="1" si="2"/>
        <v>202508Lịch ghi chỉ số tháng 06.2023.xlsx</v>
      </c>
      <c r="B112" s="36">
        <v>104</v>
      </c>
      <c r="C112" s="3" t="s">
        <v>104</v>
      </c>
      <c r="D112" s="19">
        <v>274</v>
      </c>
      <c r="E112" s="3" t="s">
        <v>62</v>
      </c>
      <c r="F112" s="14">
        <v>45442.654340277775</v>
      </c>
      <c r="G112" s="64" t="str">
        <f>HYPERLINK("B:\thuctd.github.io\NiemYet\08-LichGhiChiSo\Lich GCS hàng tháng từ năm 2022 - 2024\Năm 2023\Lịch ghi chỉ số tháng 06.2023.xlsx","Open File")</f>
        <v>Open File</v>
      </c>
      <c r="H112" s="48" t="str">
        <f t="shared" ca="1" si="3"/>
        <v>=HYPERLINK("B:\thuctd.github.io\NiemYet\08-LichGhiChiSo\Lich GCS hàng tháng từ năm 2022 - 2024\Năm 2023\Lịch ghi chỉ số tháng 06.2023.xlsx";"Open File")</v>
      </c>
    </row>
    <row r="113" spans="1:8" ht="19.95" customHeight="1" x14ac:dyDescent="0.25">
      <c r="A113" s="6" t="str">
        <f t="shared" ca="1" si="2"/>
        <v>202508Lịch ghi chỉ số tháng 06.2024.xlsx</v>
      </c>
      <c r="B113" s="36">
        <v>105</v>
      </c>
      <c r="C113" s="3" t="s">
        <v>120</v>
      </c>
      <c r="D113" s="19">
        <v>11597</v>
      </c>
      <c r="E113" s="3" t="s">
        <v>62</v>
      </c>
      <c r="F113" s="14">
        <v>45619.457233796296</v>
      </c>
      <c r="G113" s="64" t="str">
        <f>HYPERLINK("B:\thuctd.github.io\NiemYet\08-LichGhiChiSo\Lich GCS hàng tháng từ năm 2022 - 2024\Năm 2024\Lịch ghi chỉ số tháng 06.2024.xlsx","Open File")</f>
        <v>Open File</v>
      </c>
      <c r="H113" s="48" t="str">
        <f t="shared" ca="1" si="3"/>
        <v>=HYPERLINK("B:\thuctd.github.io\NiemYet\08-LichGhiChiSo\Lich GCS hàng tháng từ năm 2022 - 2024\Năm 2024\Lịch ghi chỉ số tháng 06.2024.xlsx";"Open File")</v>
      </c>
    </row>
    <row r="114" spans="1:8" ht="19.95" customHeight="1" x14ac:dyDescent="0.25">
      <c r="A114" s="6" t="str">
        <f t="shared" ca="1" si="2"/>
        <v>202508Lịch ghi chỉ số tháng 07.2022.xlsx</v>
      </c>
      <c r="B114" s="36">
        <v>106</v>
      </c>
      <c r="C114" s="3" t="s">
        <v>93</v>
      </c>
      <c r="D114" s="19">
        <v>227</v>
      </c>
      <c r="E114" s="3" t="s">
        <v>62</v>
      </c>
      <c r="F114" s="14">
        <v>45442.648055555554</v>
      </c>
      <c r="G114" s="64" t="str">
        <f>HYPERLINK("B:\thuctd.github.io\NiemYet\08-LichGhiChiSo\Lich GCS hàng tháng từ năm 2022 - 2024\Năm 2022\Lịch ghi chỉ số tháng 07.2022.xlsx","Open File")</f>
        <v>Open File</v>
      </c>
      <c r="H114" s="48" t="str">
        <f t="shared" ca="1" si="3"/>
        <v>=HYPERLINK("B:\thuctd.github.io\NiemYet\08-LichGhiChiSo\Lich GCS hàng tháng từ năm 2022 - 2024\Năm 2022\Lịch ghi chỉ số tháng 07.2022.xlsx";"Open File")</v>
      </c>
    </row>
    <row r="115" spans="1:8" ht="19.95" customHeight="1" x14ac:dyDescent="0.25">
      <c r="A115" s="6" t="str">
        <f t="shared" ca="1" si="2"/>
        <v>202508Lịch ghi chỉ số tháng 07.2023.xlsx</v>
      </c>
      <c r="B115" s="36">
        <v>107</v>
      </c>
      <c r="C115" s="3" t="s">
        <v>105</v>
      </c>
      <c r="D115" s="19">
        <v>14288</v>
      </c>
      <c r="E115" s="3" t="s">
        <v>62</v>
      </c>
      <c r="F115" s="44">
        <v>45442.654652777775</v>
      </c>
      <c r="G115" s="56" t="str">
        <f>HYPERLINK("B:\thuctd.github.io\NiemYet\08-LichGhiChiSo\Lich GCS hàng tháng từ năm 2022 - 2024\Năm 2023\Lịch ghi chỉ số tháng 07.2023.xlsx","Open File")</f>
        <v>Open File</v>
      </c>
      <c r="H115" s="48" t="str">
        <f t="shared" ca="1" si="3"/>
        <v>=HYPERLINK("B:\thuctd.github.io\NiemYet\08-LichGhiChiSo\Lich GCS hàng tháng từ năm 2022 - 2024\Năm 2023\Lịch ghi chỉ số tháng 07.2023.xlsx";"Open File")</v>
      </c>
    </row>
    <row r="116" spans="1:8" ht="19.95" customHeight="1" x14ac:dyDescent="0.25">
      <c r="A116" s="6" t="str">
        <f t="shared" ca="1" si="2"/>
        <v>202508Lịch ghi chỉ số tháng 07.2024 (1).xlsx</v>
      </c>
      <c r="B116" s="36">
        <v>108</v>
      </c>
      <c r="C116" s="3" t="s">
        <v>82</v>
      </c>
      <c r="D116" s="19">
        <v>389</v>
      </c>
      <c r="E116" s="3" t="s">
        <v>62</v>
      </c>
      <c r="F116" s="14">
        <v>45619.459340277775</v>
      </c>
      <c r="G116" s="64" t="str">
        <f>HYPERLINK("B:\thuctd.github.io\NiemYet\08-LichGhiChiSo\Lịch ghi chỉ số tháng 07.2024 (1).xlsx","Open File")</f>
        <v>Open File</v>
      </c>
      <c r="H116" s="48" t="str">
        <f t="shared" ca="1" si="3"/>
        <v>=HYPERLINK("B:\thuctd.github.io\NiemYet\08-LichGhiChiSo\Lịch ghi chỉ số tháng 07.2024 (1).xlsx";"Open File")</v>
      </c>
    </row>
    <row r="117" spans="1:8" ht="19.95" customHeight="1" x14ac:dyDescent="0.25">
      <c r="A117" s="6" t="str">
        <f t="shared" ca="1" si="2"/>
        <v>202508Lịch ghi chỉ số tháng 08.2022.xlsx</v>
      </c>
      <c r="B117" s="36">
        <v>109</v>
      </c>
      <c r="C117" s="3" t="s">
        <v>94</v>
      </c>
      <c r="D117" s="19">
        <v>227</v>
      </c>
      <c r="E117" s="3" t="s">
        <v>62</v>
      </c>
      <c r="F117" s="14">
        <v>45442.648449074077</v>
      </c>
      <c r="G117" s="56" t="str">
        <f>HYPERLINK("B:\thuctd.github.io\NiemYet\08-LichGhiChiSo\Lich GCS hàng tháng từ năm 2022 - 2024\Năm 2022\Lịch ghi chỉ số tháng 08.2022.xlsx","Open File")</f>
        <v>Open File</v>
      </c>
      <c r="H117" s="48" t="str">
        <f t="shared" ca="1" si="3"/>
        <v>=HYPERLINK("B:\thuctd.github.io\NiemYet\08-LichGhiChiSo\Lich GCS hàng tháng từ năm 2022 - 2024\Năm 2022\Lịch ghi chỉ số tháng 08.2022.xlsx";"Open File")</v>
      </c>
    </row>
    <row r="118" spans="1:8" ht="19.95" customHeight="1" x14ac:dyDescent="0.25">
      <c r="A118" s="6" t="str">
        <f t="shared" ca="1" si="2"/>
        <v>202508Lịch ghi chỉ số tháng 08.2023.xlsx</v>
      </c>
      <c r="B118" s="36">
        <v>110</v>
      </c>
      <c r="C118" s="3" t="s">
        <v>106</v>
      </c>
      <c r="D118" s="19">
        <v>14282</v>
      </c>
      <c r="E118" s="3" t="s">
        <v>62</v>
      </c>
      <c r="F118" s="14">
        <v>45442.655092592591</v>
      </c>
      <c r="G118" s="64" t="str">
        <f>HYPERLINK("B:\thuctd.github.io\NiemYet\08-LichGhiChiSo\Lich GCS hàng tháng từ năm 2022 - 2024\Năm 2023\Lịch ghi chỉ số tháng 08.2023.xlsx","Open File")</f>
        <v>Open File</v>
      </c>
      <c r="H118" s="48" t="str">
        <f t="shared" ca="1" si="3"/>
        <v>=HYPERLINK("B:\thuctd.github.io\NiemYet\08-LichGhiChiSo\Lich GCS hàng tháng từ năm 2022 - 2024\Năm 2023\Lịch ghi chỉ số tháng 08.2023.xlsx";"Open File")</v>
      </c>
    </row>
    <row r="119" spans="1:8" ht="19.95" customHeight="1" x14ac:dyDescent="0.25">
      <c r="A119" s="6" t="str">
        <f t="shared" ca="1" si="2"/>
        <v>202508Lịch ghi chỉ số tháng 09.2022.xlsx</v>
      </c>
      <c r="B119" s="36">
        <v>111</v>
      </c>
      <c r="C119" s="3" t="s">
        <v>95</v>
      </c>
      <c r="D119" s="19">
        <v>228</v>
      </c>
      <c r="E119" s="3" t="s">
        <v>62</v>
      </c>
      <c r="F119" s="14">
        <v>45442.648912037039</v>
      </c>
      <c r="G119" s="56" t="str">
        <f>HYPERLINK("B:\thuctd.github.io\NiemYet\08-LichGhiChiSo\Lich GCS hàng tháng từ năm 2022 - 2024\Năm 2022\Lịch ghi chỉ số tháng 09.2022.xlsx","Open File")</f>
        <v>Open File</v>
      </c>
      <c r="H119" s="48" t="str">
        <f t="shared" ca="1" si="3"/>
        <v>=HYPERLINK("B:\thuctd.github.io\NiemYet\08-LichGhiChiSo\Lich GCS hàng tháng từ năm 2022 - 2024\Năm 2022\Lịch ghi chỉ số tháng 09.2022.xlsx";"Open File")</v>
      </c>
    </row>
    <row r="120" spans="1:8" ht="19.95" customHeight="1" x14ac:dyDescent="0.25">
      <c r="A120" s="6" t="str">
        <f t="shared" ca="1" si="2"/>
        <v>202508Lịch ghi chỉ số tháng 09.2023.xlsx</v>
      </c>
      <c r="B120" s="36">
        <v>112</v>
      </c>
      <c r="C120" s="3" t="s">
        <v>107</v>
      </c>
      <c r="D120" s="19">
        <v>14287</v>
      </c>
      <c r="E120" s="3" t="s">
        <v>62</v>
      </c>
      <c r="F120" s="14">
        <v>45442.655601851853</v>
      </c>
      <c r="G120" s="64" t="str">
        <f>HYPERLINK("B:\thuctd.github.io\NiemYet\08-LichGhiChiSo\Lich GCS hàng tháng từ năm 2022 - 2024\Năm 2023\Lịch ghi chỉ số tháng 09.2023.xlsx","Open File")</f>
        <v>Open File</v>
      </c>
      <c r="H120" s="48" t="str">
        <f t="shared" ca="1" si="3"/>
        <v>=HYPERLINK("B:\thuctd.github.io\NiemYet\08-LichGhiChiSo\Lich GCS hàng tháng từ năm 2022 - 2024\Năm 2023\Lịch ghi chỉ số tháng 09.2023.xlsx";"Open File")</v>
      </c>
    </row>
    <row r="121" spans="1:8" ht="19.95" customHeight="1" x14ac:dyDescent="0.25">
      <c r="A121" s="6" t="str">
        <f t="shared" ca="1" si="2"/>
        <v>202508Lịch ghi chỉ số tháng 10.2022.xlsx</v>
      </c>
      <c r="B121" s="36">
        <v>113</v>
      </c>
      <c r="C121" s="3" t="s">
        <v>96</v>
      </c>
      <c r="D121" s="19">
        <v>229</v>
      </c>
      <c r="E121" s="3" t="s">
        <v>62</v>
      </c>
      <c r="F121" s="14">
        <v>45442.649398148147</v>
      </c>
      <c r="G121" s="56" t="str">
        <f>HYPERLINK("B:\thuctd.github.io\NiemYet\08-LichGhiChiSo\Lich GCS hàng tháng từ năm 2022 - 2024\Năm 2022\Lịch ghi chỉ số tháng 10.2022.xlsx","Open File")</f>
        <v>Open File</v>
      </c>
      <c r="H121" s="48" t="str">
        <f t="shared" ca="1" si="3"/>
        <v>=HYPERLINK("B:\thuctd.github.io\NiemYet\08-LichGhiChiSo\Lich GCS hàng tháng từ năm 2022 - 2024\Năm 2022\Lịch ghi chỉ số tháng 10.2022.xlsx";"Open File")</v>
      </c>
    </row>
    <row r="122" spans="1:8" ht="19.95" customHeight="1" x14ac:dyDescent="0.25">
      <c r="A122" s="6" t="str">
        <f t="shared" ca="1" si="2"/>
        <v>202508Lịch ghi chỉ số tháng 10.2023.xlsx</v>
      </c>
      <c r="B122" s="36">
        <v>114</v>
      </c>
      <c r="C122" s="3" t="s">
        <v>108</v>
      </c>
      <c r="D122" s="19">
        <v>14288</v>
      </c>
      <c r="E122" s="3" t="s">
        <v>62</v>
      </c>
      <c r="F122" s="14">
        <v>45442.6559837963</v>
      </c>
      <c r="G122" s="56" t="str">
        <f>HYPERLINK("B:\thuctd.github.io\NiemYet\08-LichGhiChiSo\Lich GCS hàng tháng từ năm 2022 - 2024\Năm 2023\Lịch ghi chỉ số tháng 10.2023.xlsx","Open File")</f>
        <v>Open File</v>
      </c>
      <c r="H122" s="48" t="str">
        <f t="shared" ca="1" si="3"/>
        <v>=HYPERLINK("B:\thuctd.github.io\NiemYet\08-LichGhiChiSo\Lich GCS hàng tháng từ năm 2022 - 2024\Năm 2023\Lịch ghi chỉ số tháng 10.2023.xlsx";"Open File")</v>
      </c>
    </row>
    <row r="123" spans="1:8" ht="19.95" customHeight="1" x14ac:dyDescent="0.25">
      <c r="A123" s="6" t="str">
        <f t="shared" ca="1" si="2"/>
        <v>202508Lịch ghi chỉ số tháng 11.2022.xlsx</v>
      </c>
      <c r="B123" s="36">
        <v>115</v>
      </c>
      <c r="C123" s="3" t="s">
        <v>97</v>
      </c>
      <c r="D123" s="19">
        <v>233</v>
      </c>
      <c r="E123" s="3" t="s">
        <v>62</v>
      </c>
      <c r="F123" s="14">
        <v>45442.649675925924</v>
      </c>
      <c r="G123" s="56" t="str">
        <f>HYPERLINK("B:\thuctd.github.io\NiemYet\08-LichGhiChiSo\Lich GCS hàng tháng từ năm 2022 - 2024\Năm 2022\Lịch ghi chỉ số tháng 11.2022.xlsx","Open File")</f>
        <v>Open File</v>
      </c>
      <c r="H123" s="48" t="str">
        <f t="shared" ca="1" si="3"/>
        <v>=HYPERLINK("B:\thuctd.github.io\NiemYet\08-LichGhiChiSo\Lich GCS hàng tháng từ năm 2022 - 2024\Năm 2022\Lịch ghi chỉ số tháng 11.2022.xlsx";"Open File")</v>
      </c>
    </row>
    <row r="124" spans="1:8" ht="19.95" customHeight="1" x14ac:dyDescent="0.25">
      <c r="A124" s="6" t="str">
        <f t="shared" ca="1" si="2"/>
        <v>202508Lịch ghi chỉ số tháng 11.2023.xlsx</v>
      </c>
      <c r="B124" s="36">
        <v>116</v>
      </c>
      <c r="C124" s="3" t="s">
        <v>109</v>
      </c>
      <c r="D124" s="19">
        <v>14292</v>
      </c>
      <c r="E124" s="3" t="s">
        <v>62</v>
      </c>
      <c r="F124" s="14">
        <v>45442.376875000002</v>
      </c>
      <c r="G124" s="56" t="str">
        <f>HYPERLINK("B:\thuctd.github.io\NiemYet\08-LichGhiChiSo\Lich GCS hàng tháng từ năm 2022 - 2024\Năm 2023\Lịch ghi chỉ số tháng 11.2023.xlsx","Open File")</f>
        <v>Open File</v>
      </c>
      <c r="H124" s="48" t="str">
        <f t="shared" ca="1" si="3"/>
        <v>=HYPERLINK("B:\thuctd.github.io\NiemYet\08-LichGhiChiSo\Lich GCS hàng tháng từ năm 2022 - 2024\Năm 2023\Lịch ghi chỉ số tháng 11.2023.xlsx";"Open File")</v>
      </c>
    </row>
    <row r="125" spans="1:8" ht="19.95" customHeight="1" x14ac:dyDescent="0.25">
      <c r="A125" s="6" t="str">
        <f t="shared" ca="1" si="2"/>
        <v>202508Lịch ghi chỉ số tháng 12.2022.xlsx</v>
      </c>
      <c r="B125" s="36">
        <v>117</v>
      </c>
      <c r="C125" s="3" t="s">
        <v>98</v>
      </c>
      <c r="D125" s="19">
        <v>243</v>
      </c>
      <c r="E125" s="45" t="s">
        <v>62</v>
      </c>
      <c r="F125" s="44">
        <v>45442.650081018517</v>
      </c>
      <c r="G125" s="56" t="str">
        <f>HYPERLINK("B:\thuctd.github.io\NiemYet\08-LichGhiChiSo\Lich GCS hàng tháng từ năm 2022 - 2024\Năm 2022\Lịch ghi chỉ số tháng 12.2022.xlsx","Open File")</f>
        <v>Open File</v>
      </c>
      <c r="H125" s="48" t="str">
        <f t="shared" ca="1" si="3"/>
        <v>=HYPERLINK("B:\thuctd.github.io\NiemYet\08-LichGhiChiSo\Lich GCS hàng tháng từ năm 2022 - 2024\Năm 2022\Lịch ghi chỉ số tháng 12.2022.xlsx";"Open File")</v>
      </c>
    </row>
    <row r="126" spans="1:8" ht="19.95" customHeight="1" x14ac:dyDescent="0.25">
      <c r="A126" s="6" t="str">
        <f t="shared" ca="1" si="2"/>
        <v>202508Lịch ghi chỉ số tháng 12.2023.xlsx</v>
      </c>
      <c r="B126" s="36">
        <v>118</v>
      </c>
      <c r="C126" s="3" t="s">
        <v>110</v>
      </c>
      <c r="D126" s="19">
        <v>14294</v>
      </c>
      <c r="E126" s="45" t="s">
        <v>62</v>
      </c>
      <c r="F126" s="44">
        <v>45442.377476851849</v>
      </c>
      <c r="G126" s="56" t="str">
        <f>HYPERLINK("B:\thuctd.github.io\NiemYet\08-LichGhiChiSo\Lich GCS hàng tháng từ năm 2022 - 2024\Năm 2023\Lịch ghi chỉ số tháng 12.2023.xlsx","Open File")</f>
        <v>Open File</v>
      </c>
      <c r="H126" s="48" t="str">
        <f t="shared" ca="1" si="3"/>
        <v>=HYPERLINK("B:\thuctd.github.io\NiemYet\08-LichGhiChiSo\Lich GCS hàng tháng từ năm 2022 - 2024\Năm 2023\Lịch ghi chỉ số tháng 12.2023.xlsx";"Open File")</v>
      </c>
    </row>
    <row r="127" spans="1:8" ht="19.95" customHeight="1" x14ac:dyDescent="0.25">
      <c r="A127" s="6" t="str">
        <f t="shared" ca="1" si="2"/>
        <v>202508LỊCH GHI ĐIỆN THÁNG 11.2024.xlsx</v>
      </c>
      <c r="B127" s="36">
        <v>119</v>
      </c>
      <c r="C127" s="3" t="s">
        <v>84</v>
      </c>
      <c r="D127" s="19">
        <v>51</v>
      </c>
      <c r="E127" s="3" t="s">
        <v>62</v>
      </c>
      <c r="F127" s="14">
        <v>45619.44326388889</v>
      </c>
      <c r="G127" s="56" t="str">
        <f>HYPERLINK("B:\thuctd.github.io\NiemYet\08-LichGhiChiSo\LỊCH GHI ĐIỆN THÁNG 11.2024.xlsx","Open File")</f>
        <v>Open File</v>
      </c>
      <c r="H127" s="48" t="str">
        <f t="shared" ca="1" si="3"/>
        <v>=HYPERLINK("B:\thuctd.github.io\NiemYet\08-LichGhiChiSo\LỊCH GHI ĐIỆN THÁNG 11.2024.xlsx";"Open File")</v>
      </c>
    </row>
    <row r="128" spans="1:8" ht="19.95" customHeight="1" x14ac:dyDescent="0.25">
      <c r="A128" s="6" t="str">
        <f t="shared" ca="1" si="2"/>
        <v>202508LỊCH GHI ĐIỆN.xlsx</v>
      </c>
      <c r="B128" s="36">
        <v>120</v>
      </c>
      <c r="C128" s="3" t="s">
        <v>85</v>
      </c>
      <c r="D128" s="19">
        <v>678</v>
      </c>
      <c r="E128" s="3" t="s">
        <v>62</v>
      </c>
      <c r="F128" s="44">
        <v>45619.466365740744</v>
      </c>
      <c r="G128" s="56" t="str">
        <f>HYPERLINK("B:\thuctd.github.io\NiemYet\08-LichGhiChiSo\LỊCH GHI ĐIỆN.xlsx","Open File")</f>
        <v>Open File</v>
      </c>
      <c r="H128" s="48" t="str">
        <f t="shared" ca="1" si="3"/>
        <v>=HYPERLINK("B:\thuctd.github.io\NiemYet\08-LichGhiChiSo\LỊCH GHI ĐIỆN.xlsx";"Open File")</v>
      </c>
    </row>
    <row r="129" spans="1:8" ht="19.95" customHeight="1" x14ac:dyDescent="0.25">
      <c r="A129" s="6" t="str">
        <f t="shared" ca="1" si="2"/>
        <v>202508LỊCH GHI THÁNG 10.xlsx</v>
      </c>
      <c r="B129" s="36">
        <v>121</v>
      </c>
      <c r="C129" s="3" t="s">
        <v>83</v>
      </c>
      <c r="D129" s="19">
        <v>61</v>
      </c>
      <c r="E129" s="3" t="s">
        <v>62</v>
      </c>
      <c r="F129" s="14">
        <v>45619.4609375</v>
      </c>
      <c r="G129" s="64" t="str">
        <f>HYPERLINK("B:\thuctd.github.io\NiemYet\08-LichGhiChiSo\LỊCH GHI THÁNG 10.xlsx","Open File")</f>
        <v>Open File</v>
      </c>
      <c r="H129" s="48" t="str">
        <f t="shared" ca="1" si="3"/>
        <v>=HYPERLINK("B:\thuctd.github.io\NiemYet\08-LichGhiChiSo\LỊCH GHI THÁNG 10.xlsx";"Open File")</v>
      </c>
    </row>
    <row r="130" spans="1:8" ht="19.95" customHeight="1" x14ac:dyDescent="0.25">
      <c r="A130" s="6" t="str">
        <f t="shared" ca="1" si="2"/>
        <v>202508luat_doluong_04.doc</v>
      </c>
      <c r="B130" s="36">
        <v>122</v>
      </c>
      <c r="C130" s="3" t="s">
        <v>43</v>
      </c>
      <c r="D130" s="19">
        <v>161</v>
      </c>
      <c r="E130" s="3" t="s">
        <v>41</v>
      </c>
      <c r="F130" s="14">
        <v>45926.607175925928</v>
      </c>
      <c r="G130" s="56" t="str">
        <f>HYPERLINK("B:\thuctd.github.io\NiemYet\01-Bo-Nganh-Luat\Word\luat_doluong_04.doc","Open File")</f>
        <v>Open File</v>
      </c>
      <c r="H130" s="48" t="str">
        <f t="shared" ca="1" si="3"/>
        <v>=HYPERLINK("B:\thuctd.github.io\NiemYet\01-Bo-Nganh-Luat\Word\luat_doluong_04.doc";"Open File")</v>
      </c>
    </row>
    <row r="131" spans="1:8" ht="19.95" customHeight="1" x14ac:dyDescent="0.25">
      <c r="A131" s="6" t="str">
        <f t="shared" ca="1" si="2"/>
        <v>202508PC Dong Nai_Danh sach dai ly_2024.05.14</v>
      </c>
      <c r="B131" s="36">
        <v>123</v>
      </c>
      <c r="C131" s="3" t="s">
        <v>122</v>
      </c>
      <c r="D131" s="19">
        <v>282</v>
      </c>
      <c r="E131" s="3" t="s">
        <v>7</v>
      </c>
      <c r="F131" s="14">
        <v>45446.614710648151</v>
      </c>
      <c r="G131" s="56" t="str">
        <f>HYPERLINK("B:\thuctd.github.io\NiemYet\09-DanhSachDiemThuHo\PC Dong Nai_Danh sach dai ly_2024.05.14.pdf","Open File")</f>
        <v>Open File</v>
      </c>
      <c r="H131" s="48" t="str">
        <f t="shared" ca="1" si="3"/>
        <v>=HYPERLINK("B:\thuctd.github.io\NiemYet\09-DanhSachDiemThuHo\PC Dong Nai_Danh sach dai ly_2024.05.14.pdf";"Open File")</v>
      </c>
    </row>
    <row r="132" spans="1:8" ht="19.95" customHeight="1" x14ac:dyDescent="0.25">
      <c r="A132" s="6" t="str">
        <f t="shared" ca="1" si="2"/>
        <v>202508PHỤ LỤC-KHU VUC CHUA DU DK CAP DIEN 2024 - BC SCT.xlsx</v>
      </c>
      <c r="B132" s="36">
        <v>124</v>
      </c>
      <c r="C132" s="3" t="s">
        <v>61</v>
      </c>
      <c r="D132" s="19">
        <v>40</v>
      </c>
      <c r="E132" s="3" t="s">
        <v>62</v>
      </c>
      <c r="F132" s="14">
        <v>45380.660405092596</v>
      </c>
      <c r="G132" s="56" t="str">
        <f>HYPERLINK("B:\thuctd.github.io\NiemYet\04-KhuVucCapDien\PHỤ LỤC-KHU VUC CHUA DU DK CAP DIEN 2024 - BC SCT.xlsx","Open File")</f>
        <v>Open File</v>
      </c>
      <c r="H132" s="48" t="str">
        <f t="shared" ca="1" si="3"/>
        <v>=HYPERLINK("B:\thuctd.github.io\NiemYet\04-KhuVucCapDien\PHỤ LỤC-KHU VUC CHUA DU DK CAP DIEN 2024 - BC SCT.xlsx";"Open File")</v>
      </c>
    </row>
    <row r="133" spans="1:8" ht="19.95" customHeight="1" x14ac:dyDescent="0.25">
      <c r="A133" s="6" t="str">
        <f t="shared" ca="1" si="2"/>
        <v>202508TỔNG HỢP LỊCH BỔ SUNG THÁNG 01.2024.xlsx</v>
      </c>
      <c r="B133" s="36">
        <v>125</v>
      </c>
      <c r="C133" s="3" t="s">
        <v>86</v>
      </c>
      <c r="D133" s="19">
        <v>30098</v>
      </c>
      <c r="E133" s="45" t="s">
        <v>62</v>
      </c>
      <c r="F133" s="44">
        <v>45681.375219907408</v>
      </c>
      <c r="G133" s="56" t="str">
        <f>HYPERLINK("B:\thuctd.github.io\NiemYet\08-LichGhiChiSo\TỔNG HỢP LỊCH BỔ SUNG THÁNG 01.2024.xlsx","Open File")</f>
        <v>Open File</v>
      </c>
      <c r="H133" s="48" t="str">
        <f t="shared" ca="1" si="3"/>
        <v>=HYPERLINK("B:\thuctd.github.io\NiemYet\08-LichGhiChiSo\TỔNG HỢP LỊCH BỔ SUNG THÁNG 01.2024.xlsx";"Open File")</v>
      </c>
    </row>
    <row r="134" spans="1:8" ht="19.95" customHeight="1" x14ac:dyDescent="0.25">
      <c r="A134" s="6" t="str">
        <f t="shared" ca="1" si="2"/>
        <v>202508Thong tu 23_2013_TT_BKHCN.doc</v>
      </c>
      <c r="B134" s="36">
        <v>126</v>
      </c>
      <c r="C134" s="3" t="s">
        <v>44</v>
      </c>
      <c r="D134" s="19">
        <v>245</v>
      </c>
      <c r="E134" s="3" t="s">
        <v>41</v>
      </c>
      <c r="F134" s="44">
        <v>45926.607175925928</v>
      </c>
      <c r="G134" s="56" t="str">
        <f>HYPERLINK("B:\thuctd.github.io\NiemYet\01-Bo-Nganh-Luat\Word\Thong tu 23_2013_TT_BKHCN.doc","Open File")</f>
        <v>Open File</v>
      </c>
      <c r="H134" s="48" t="str">
        <f t="shared" ca="1" si="3"/>
        <v>=HYPERLINK("B:\thuctd.github.io\NiemYet\01-Bo-Nganh-Luat\Word\Thong tu 23_2013_TT_BKHCN.doc";"Open File")</v>
      </c>
    </row>
    <row r="135" spans="1:8" ht="19.95" customHeight="1" x14ac:dyDescent="0.25">
      <c r="A135" s="6" t="str">
        <f t="shared" ca="1" si="2"/>
        <v>202508thông tin ngân hàng.xls</v>
      </c>
      <c r="B135" s="36">
        <v>127</v>
      </c>
      <c r="C135" s="3" t="s">
        <v>123</v>
      </c>
      <c r="D135" s="19">
        <v>119</v>
      </c>
      <c r="E135" s="3" t="s">
        <v>124</v>
      </c>
      <c r="F135" s="44">
        <v>45619.474131944444</v>
      </c>
      <c r="G135" s="56" t="str">
        <f>HYPERLINK("B:\thuctd.github.io\NiemYet\09-DanhSachDiemThuHo\thông tin ngân hàng.xls","Open File")</f>
        <v>Open File</v>
      </c>
      <c r="H135" s="48" t="str">
        <f t="shared" ca="1" si="3"/>
        <v>=HYPERLINK("B:\thuctd.github.io\NiemYet\09-DanhSachDiemThuHo\thông tin ngân hàng.xls";"Open File")</v>
      </c>
    </row>
    <row r="136" spans="1:8" ht="19.95" customHeight="1" x14ac:dyDescent="0.25">
      <c r="A136" s="6" t="str">
        <f t="shared" ca="1" si="2"/>
        <v>202508VB 6891_UBND kem QĐ 14_2025_QĐ-TTg</v>
      </c>
      <c r="B136" s="36">
        <v>128</v>
      </c>
      <c r="C136" s="3" t="s">
        <v>72</v>
      </c>
      <c r="D136" s="19">
        <v>3191</v>
      </c>
      <c r="E136" s="3" t="s">
        <v>7</v>
      </c>
      <c r="F136" s="14">
        <v>45826.360995370371</v>
      </c>
      <c r="G136" s="64" t="str">
        <f>HYPERLINK("B:\thuctd.github.io\NiemYet\07-GiaDien\VB 6891_UBND kem QĐ 14_2025_QĐ-TTg.pdf","Open File")</f>
        <v>Open File</v>
      </c>
      <c r="H136" s="48" t="str">
        <f t="shared" ca="1" si="3"/>
        <v>=HYPERLINK("B:\thuctd.github.io\NiemYet\07-GiaDien\VB 6891_UBND kem QĐ 14_2025_QĐ-TTg.pdf";"Open File")</v>
      </c>
    </row>
    <row r="137" spans="1:8" ht="19.95" customHeight="1" x14ac:dyDescent="0.25">
      <c r="A137" s="6" t="str">
        <f t="shared" ref="A137:A200" ca="1" si="4" xml:space="preserve"> $A$5&amp;$A$6&amp;SUBSTITUTE(C137,".pdf","")</f>
        <v>202508</v>
      </c>
      <c r="B137" s="36"/>
      <c r="C137" s="3"/>
      <c r="D137" s="19"/>
      <c r="E137" s="3"/>
      <c r="F137" s="14"/>
      <c r="G137" s="56"/>
      <c r="H137" s="48" t="e">
        <f t="shared" ca="1" si="3"/>
        <v>#N/A</v>
      </c>
    </row>
    <row r="138" spans="1:8" ht="19.95" customHeight="1" x14ac:dyDescent="0.25">
      <c r="A138" s="6" t="str">
        <f t="shared" ca="1" si="4"/>
        <v>202508</v>
      </c>
      <c r="B138" s="36"/>
      <c r="C138" s="3"/>
      <c r="D138" s="19"/>
      <c r="E138" s="3"/>
      <c r="F138" s="14"/>
      <c r="G138" s="56"/>
      <c r="H138" s="48" t="e">
        <f t="shared" ref="H138:H170" ca="1" si="5">_xlfn.FORMULATEXT(G138)</f>
        <v>#N/A</v>
      </c>
    </row>
    <row r="139" spans="1:8" ht="19.95" customHeight="1" x14ac:dyDescent="0.25">
      <c r="A139" s="6" t="str">
        <f t="shared" ca="1" si="4"/>
        <v>202508</v>
      </c>
      <c r="B139" s="36"/>
      <c r="C139" s="3"/>
      <c r="D139" s="19"/>
      <c r="E139" s="3"/>
      <c r="F139" s="14"/>
      <c r="G139" s="64"/>
      <c r="H139" s="48" t="e">
        <f t="shared" ca="1" si="5"/>
        <v>#N/A</v>
      </c>
    </row>
    <row r="140" spans="1:8" ht="19.95" customHeight="1" x14ac:dyDescent="0.25">
      <c r="A140" s="6" t="str">
        <f t="shared" ca="1" si="4"/>
        <v>202508</v>
      </c>
      <c r="B140" s="36"/>
      <c r="C140" s="3"/>
      <c r="D140" s="19"/>
      <c r="E140" s="3"/>
      <c r="F140" s="14"/>
      <c r="G140" s="64"/>
      <c r="H140" s="48" t="e">
        <f t="shared" ca="1" si="5"/>
        <v>#N/A</v>
      </c>
    </row>
    <row r="141" spans="1:8" ht="19.95" customHeight="1" x14ac:dyDescent="0.25">
      <c r="A141" s="6" t="str">
        <f t="shared" ca="1" si="4"/>
        <v>202508</v>
      </c>
      <c r="B141" s="36"/>
      <c r="C141" s="3"/>
      <c r="D141" s="19"/>
      <c r="E141" s="45"/>
      <c r="F141" s="44"/>
      <c r="G141" s="56"/>
      <c r="H141" s="48" t="e">
        <f t="shared" ca="1" si="5"/>
        <v>#N/A</v>
      </c>
    </row>
    <row r="142" spans="1:8" ht="19.95" customHeight="1" x14ac:dyDescent="0.25">
      <c r="A142" s="6" t="str">
        <f t="shared" ca="1" si="4"/>
        <v>202508</v>
      </c>
      <c r="B142" s="36"/>
      <c r="C142" s="3"/>
      <c r="D142" s="19"/>
      <c r="E142" s="3"/>
      <c r="F142" s="14"/>
      <c r="G142" s="56"/>
      <c r="H142" s="48" t="e">
        <f t="shared" ca="1" si="5"/>
        <v>#N/A</v>
      </c>
    </row>
    <row r="143" spans="1:8" ht="19.95" customHeight="1" x14ac:dyDescent="0.25">
      <c r="A143" s="6" t="str">
        <f t="shared" ca="1" si="4"/>
        <v>202508</v>
      </c>
      <c r="B143" s="36"/>
      <c r="C143" s="3"/>
      <c r="D143" s="19"/>
      <c r="E143" s="3"/>
      <c r="F143" s="14"/>
      <c r="G143" s="56"/>
      <c r="H143" s="48" t="e">
        <f t="shared" ca="1" si="5"/>
        <v>#N/A</v>
      </c>
    </row>
    <row r="144" spans="1:8" ht="19.95" customHeight="1" x14ac:dyDescent="0.25">
      <c r="A144" s="6" t="str">
        <f t="shared" ca="1" si="4"/>
        <v>202508</v>
      </c>
      <c r="B144" s="36"/>
      <c r="C144" s="3"/>
      <c r="D144" s="19"/>
      <c r="E144" s="3"/>
      <c r="F144" s="14"/>
      <c r="G144" s="64"/>
      <c r="H144" s="48" t="e">
        <f t="shared" ca="1" si="5"/>
        <v>#N/A</v>
      </c>
    </row>
    <row r="145" spans="1:8" ht="19.95" customHeight="1" x14ac:dyDescent="0.25">
      <c r="A145" s="6" t="str">
        <f t="shared" ca="1" si="4"/>
        <v>202508</v>
      </c>
      <c r="B145" s="36"/>
      <c r="C145" s="3"/>
      <c r="D145" s="19"/>
      <c r="E145" s="3"/>
      <c r="F145" s="14"/>
      <c r="G145" s="56"/>
      <c r="H145" s="48" t="e">
        <f t="shared" ca="1" si="5"/>
        <v>#N/A</v>
      </c>
    </row>
    <row r="146" spans="1:8" ht="19.95" customHeight="1" x14ac:dyDescent="0.25">
      <c r="A146" s="6" t="str">
        <f t="shared" ca="1" si="4"/>
        <v>202508</v>
      </c>
      <c r="B146" s="36"/>
      <c r="C146" s="3"/>
      <c r="D146" s="19"/>
      <c r="E146" s="3"/>
      <c r="F146" s="14"/>
      <c r="G146" s="56"/>
      <c r="H146" s="48" t="e">
        <f t="shared" ca="1" si="5"/>
        <v>#N/A</v>
      </c>
    </row>
    <row r="147" spans="1:8" ht="19.95" customHeight="1" x14ac:dyDescent="0.25">
      <c r="A147" s="6" t="str">
        <f t="shared" ca="1" si="4"/>
        <v>202508</v>
      </c>
      <c r="B147" s="36"/>
      <c r="C147" s="3"/>
      <c r="D147" s="19"/>
      <c r="E147" s="45"/>
      <c r="F147" s="44"/>
      <c r="G147" s="56"/>
      <c r="H147" s="48" t="e">
        <f t="shared" ca="1" si="5"/>
        <v>#N/A</v>
      </c>
    </row>
    <row r="148" spans="1:8" ht="19.95" customHeight="1" x14ac:dyDescent="0.25">
      <c r="A148" s="6" t="str">
        <f t="shared" ca="1" si="4"/>
        <v>202508</v>
      </c>
      <c r="B148" s="36"/>
      <c r="C148" s="3"/>
      <c r="D148" s="19"/>
      <c r="E148" s="45"/>
      <c r="F148" s="44"/>
      <c r="G148" s="56"/>
      <c r="H148" s="48" t="e">
        <f t="shared" ca="1" si="5"/>
        <v>#N/A</v>
      </c>
    </row>
    <row r="149" spans="1:8" ht="19.95" customHeight="1" x14ac:dyDescent="0.25">
      <c r="A149" s="6" t="str">
        <f t="shared" ca="1" si="4"/>
        <v>202508</v>
      </c>
      <c r="B149" s="36"/>
      <c r="C149" s="3"/>
      <c r="D149" s="19"/>
      <c r="E149" s="3"/>
      <c r="F149" s="14"/>
      <c r="G149" s="64"/>
      <c r="H149" s="48" t="e">
        <f t="shared" ca="1" si="5"/>
        <v>#N/A</v>
      </c>
    </row>
    <row r="150" spans="1:8" ht="19.95" customHeight="1" x14ac:dyDescent="0.25">
      <c r="A150" s="6" t="str">
        <f t="shared" ca="1" si="4"/>
        <v>202508</v>
      </c>
      <c r="B150" s="36"/>
      <c r="C150" s="3"/>
      <c r="D150" s="19"/>
      <c r="E150" s="3"/>
      <c r="F150" s="44"/>
      <c r="G150" s="56"/>
      <c r="H150" s="48" t="e">
        <f t="shared" ca="1" si="5"/>
        <v>#N/A</v>
      </c>
    </row>
    <row r="151" spans="1:8" ht="19.95" customHeight="1" x14ac:dyDescent="0.25">
      <c r="A151" s="6" t="str">
        <f t="shared" ca="1" si="4"/>
        <v>202508</v>
      </c>
      <c r="B151" s="36"/>
      <c r="C151" s="3"/>
      <c r="D151" s="19"/>
      <c r="E151" s="3"/>
      <c r="F151" s="14"/>
      <c r="G151" s="56"/>
      <c r="H151" s="48" t="e">
        <f t="shared" ca="1" si="5"/>
        <v>#N/A</v>
      </c>
    </row>
    <row r="152" spans="1:8" ht="19.95" customHeight="1" x14ac:dyDescent="0.25">
      <c r="A152" s="6" t="str">
        <f t="shared" ca="1" si="4"/>
        <v>202508</v>
      </c>
      <c r="B152" s="36"/>
      <c r="C152" s="3"/>
      <c r="D152" s="19"/>
      <c r="E152" s="3"/>
      <c r="F152" s="14"/>
      <c r="G152" s="64"/>
      <c r="H152" s="48" t="e">
        <f t="shared" ca="1" si="5"/>
        <v>#N/A</v>
      </c>
    </row>
    <row r="153" spans="1:8" ht="19.95" customHeight="1" x14ac:dyDescent="0.25">
      <c r="A153" s="6" t="str">
        <f t="shared" ca="1" si="4"/>
        <v>202508</v>
      </c>
      <c r="B153" s="36"/>
      <c r="C153" s="3"/>
      <c r="D153" s="19"/>
      <c r="E153" s="3"/>
      <c r="F153" s="14"/>
      <c r="G153" s="56"/>
      <c r="H153" s="48" t="e">
        <f t="shared" ca="1" si="5"/>
        <v>#N/A</v>
      </c>
    </row>
    <row r="154" spans="1:8" ht="19.95" customHeight="1" x14ac:dyDescent="0.25">
      <c r="A154" s="6" t="str">
        <f t="shared" ca="1" si="4"/>
        <v>202508</v>
      </c>
      <c r="B154" s="36"/>
      <c r="C154" s="3"/>
      <c r="D154" s="19"/>
      <c r="E154" s="45"/>
      <c r="F154" s="44"/>
      <c r="G154" s="56"/>
      <c r="H154" s="48" t="e">
        <f t="shared" ca="1" si="5"/>
        <v>#N/A</v>
      </c>
    </row>
    <row r="155" spans="1:8" ht="19.95" customHeight="1" x14ac:dyDescent="0.25">
      <c r="A155" s="6" t="str">
        <f t="shared" ca="1" si="4"/>
        <v>202508</v>
      </c>
      <c r="B155" s="36"/>
      <c r="C155" s="3"/>
      <c r="D155" s="19"/>
      <c r="E155" s="3"/>
      <c r="F155" s="14"/>
      <c r="G155" s="56"/>
      <c r="H155" s="48" t="e">
        <f t="shared" ca="1" si="5"/>
        <v>#N/A</v>
      </c>
    </row>
    <row r="156" spans="1:8" ht="19.95" customHeight="1" x14ac:dyDescent="0.25">
      <c r="A156" s="6" t="str">
        <f t="shared" ca="1" si="4"/>
        <v>202508</v>
      </c>
      <c r="B156" s="36"/>
      <c r="C156" s="3"/>
      <c r="D156" s="19"/>
      <c r="E156" s="3"/>
      <c r="F156" s="14"/>
      <c r="G156" s="56"/>
      <c r="H156" s="48" t="e">
        <f t="shared" ca="1" si="5"/>
        <v>#N/A</v>
      </c>
    </row>
    <row r="157" spans="1:8" ht="19.95" customHeight="1" x14ac:dyDescent="0.25">
      <c r="A157" s="6" t="str">
        <f t="shared" ca="1" si="4"/>
        <v>202508</v>
      </c>
      <c r="B157" s="36"/>
      <c r="C157" s="3"/>
      <c r="D157" s="19"/>
      <c r="E157" s="3"/>
      <c r="F157" s="14"/>
      <c r="G157" s="64"/>
      <c r="H157" s="48" t="e">
        <f t="shared" ca="1" si="5"/>
        <v>#N/A</v>
      </c>
    </row>
    <row r="158" spans="1:8" ht="19.95" customHeight="1" x14ac:dyDescent="0.25">
      <c r="A158" s="6" t="str">
        <f t="shared" ca="1" si="4"/>
        <v>202508</v>
      </c>
      <c r="B158" s="36"/>
      <c r="C158" s="3"/>
      <c r="D158" s="19"/>
      <c r="E158" s="3"/>
      <c r="F158" s="14"/>
      <c r="G158" s="56"/>
      <c r="H158" s="48" t="e">
        <f t="shared" ca="1" si="5"/>
        <v>#N/A</v>
      </c>
    </row>
    <row r="159" spans="1:8" ht="19.95" customHeight="1" x14ac:dyDescent="0.25">
      <c r="A159" s="6" t="str">
        <f t="shared" ca="1" si="4"/>
        <v>202508</v>
      </c>
      <c r="B159" s="36"/>
      <c r="C159" s="3"/>
      <c r="D159" s="19"/>
      <c r="E159" s="3"/>
      <c r="F159" s="14"/>
      <c r="G159" s="64"/>
      <c r="H159" s="48" t="e">
        <f t="shared" ca="1" si="5"/>
        <v>#N/A</v>
      </c>
    </row>
    <row r="160" spans="1:8" ht="19.95" customHeight="1" x14ac:dyDescent="0.25">
      <c r="A160" s="6" t="str">
        <f t="shared" ca="1" si="4"/>
        <v>202508</v>
      </c>
      <c r="B160" s="36"/>
      <c r="C160" s="3"/>
      <c r="D160" s="19"/>
      <c r="E160" s="3"/>
      <c r="F160" s="14"/>
      <c r="G160" s="64"/>
      <c r="H160" s="48" t="e">
        <f t="shared" ca="1" si="5"/>
        <v>#N/A</v>
      </c>
    </row>
    <row r="161" spans="1:15" ht="19.95" customHeight="1" x14ac:dyDescent="0.25">
      <c r="A161" s="6" t="str">
        <f t="shared" ca="1" si="4"/>
        <v>202508</v>
      </c>
      <c r="B161" s="36"/>
      <c r="C161" s="3"/>
      <c r="D161" s="19"/>
      <c r="E161" s="3"/>
      <c r="F161" s="14"/>
      <c r="G161" s="56"/>
      <c r="H161" s="48" t="e">
        <f t="shared" ca="1" si="5"/>
        <v>#N/A</v>
      </c>
    </row>
    <row r="162" spans="1:15" ht="19.95" customHeight="1" x14ac:dyDescent="0.25">
      <c r="A162" s="6" t="str">
        <f t="shared" ca="1" si="4"/>
        <v>202508</v>
      </c>
      <c r="B162" s="36"/>
      <c r="C162" s="3"/>
      <c r="D162" s="19"/>
      <c r="E162" s="3"/>
      <c r="F162" s="14"/>
      <c r="G162" s="56"/>
      <c r="H162" s="48" t="e">
        <f t="shared" ca="1" si="5"/>
        <v>#N/A</v>
      </c>
    </row>
    <row r="163" spans="1:15" ht="19.95" customHeight="1" x14ac:dyDescent="0.25">
      <c r="A163" s="6" t="str">
        <f t="shared" ca="1" si="4"/>
        <v>202508</v>
      </c>
      <c r="B163" s="36"/>
      <c r="C163" s="3"/>
      <c r="D163" s="19"/>
      <c r="E163" s="3"/>
      <c r="F163" s="44"/>
      <c r="G163" s="56"/>
      <c r="H163" s="48" t="e">
        <f t="shared" ca="1" si="5"/>
        <v>#N/A</v>
      </c>
    </row>
    <row r="164" spans="1:15" ht="19.95" customHeight="1" x14ac:dyDescent="0.25">
      <c r="A164" s="6" t="str">
        <f t="shared" ca="1" si="4"/>
        <v>202508</v>
      </c>
      <c r="B164" s="36"/>
      <c r="C164" s="3"/>
      <c r="D164" s="19"/>
      <c r="E164" s="45"/>
      <c r="F164" s="44"/>
      <c r="G164" s="56"/>
      <c r="H164" s="48" t="e">
        <f t="shared" ca="1" si="5"/>
        <v>#N/A</v>
      </c>
    </row>
    <row r="165" spans="1:15" ht="19.95" customHeight="1" x14ac:dyDescent="0.25">
      <c r="A165" s="6" t="str">
        <f t="shared" ca="1" si="4"/>
        <v>202508</v>
      </c>
      <c r="B165" s="36"/>
      <c r="C165" s="3"/>
      <c r="D165" s="19"/>
      <c r="E165" s="3"/>
      <c r="F165" s="14"/>
      <c r="G165" s="56"/>
      <c r="H165" s="48" t="e">
        <f t="shared" ca="1" si="5"/>
        <v>#N/A</v>
      </c>
    </row>
    <row r="166" spans="1:15" ht="19.95" customHeight="1" x14ac:dyDescent="0.25">
      <c r="A166" s="6" t="str">
        <f t="shared" ca="1" si="4"/>
        <v>202508</v>
      </c>
      <c r="B166" s="36"/>
      <c r="C166" s="3"/>
      <c r="D166" s="19"/>
      <c r="E166" s="3"/>
      <c r="F166" s="14"/>
      <c r="G166" s="64"/>
      <c r="H166" s="48" t="e">
        <f t="shared" ca="1" si="5"/>
        <v>#N/A</v>
      </c>
    </row>
    <row r="167" spans="1:15" ht="19.95" customHeight="1" x14ac:dyDescent="0.25">
      <c r="A167" s="6" t="str">
        <f t="shared" ca="1" si="4"/>
        <v>202508</v>
      </c>
      <c r="B167" s="36"/>
      <c r="C167" s="3"/>
      <c r="D167" s="19"/>
      <c r="E167" s="45"/>
      <c r="F167" s="44"/>
      <c r="G167" s="56"/>
      <c r="H167" s="48" t="e">
        <f t="shared" ca="1" si="5"/>
        <v>#N/A</v>
      </c>
    </row>
    <row r="168" spans="1:15" ht="19.95" customHeight="1" x14ac:dyDescent="0.25">
      <c r="A168" s="6" t="str">
        <f t="shared" ca="1" si="4"/>
        <v>202508</v>
      </c>
      <c r="B168" s="36"/>
      <c r="C168" s="3"/>
      <c r="D168" s="19"/>
      <c r="E168" s="3"/>
      <c r="F168" s="14"/>
      <c r="G168" s="56"/>
      <c r="H168" s="48" t="e">
        <f t="shared" ca="1" si="5"/>
        <v>#N/A</v>
      </c>
    </row>
    <row r="169" spans="1:15" ht="19.95" customHeight="1" x14ac:dyDescent="0.25">
      <c r="A169" s="6" t="str">
        <f t="shared" ca="1" si="4"/>
        <v>202508</v>
      </c>
      <c r="B169" s="36"/>
      <c r="C169" s="3"/>
      <c r="D169" s="19"/>
      <c r="E169" s="3"/>
      <c r="F169" s="14"/>
      <c r="G169" s="56"/>
      <c r="H169" s="48" t="e">
        <f t="shared" ca="1" si="5"/>
        <v>#N/A</v>
      </c>
    </row>
    <row r="170" spans="1:15" ht="19.95" customHeight="1" x14ac:dyDescent="0.25">
      <c r="A170" s="6" t="str">
        <f t="shared" ca="1" si="4"/>
        <v>202508</v>
      </c>
      <c r="B170" s="36"/>
      <c r="C170" s="3"/>
      <c r="D170" s="19"/>
      <c r="E170" s="3"/>
      <c r="F170" s="44"/>
      <c r="G170" s="56"/>
      <c r="H170" s="48" t="e">
        <f t="shared" ca="1" si="5"/>
        <v>#N/A</v>
      </c>
      <c r="I170" s="40"/>
      <c r="J170" s="40"/>
      <c r="K170" s="40"/>
      <c r="L170" s="40"/>
      <c r="M170" s="40"/>
      <c r="N170" s="40"/>
      <c r="O170" s="40"/>
    </row>
    <row r="171" spans="1:15" ht="19.95" customHeight="1" x14ac:dyDescent="0.25">
      <c r="A171" s="6" t="str">
        <f t="shared" ca="1" si="4"/>
        <v>202508</v>
      </c>
      <c r="B171" s="36"/>
      <c r="C171" s="3"/>
      <c r="D171" s="19"/>
      <c r="E171" s="3"/>
      <c r="F171" s="14"/>
      <c r="G171" s="64"/>
      <c r="H171" s="48" t="e">
        <f ca="1">VLOOKUP(A171,#REF!,1,0)</f>
        <v>#REF!</v>
      </c>
    </row>
    <row r="172" spans="1:15" ht="19.95" customHeight="1" x14ac:dyDescent="0.25">
      <c r="A172" s="6" t="str">
        <f t="shared" ca="1" si="4"/>
        <v>202508</v>
      </c>
      <c r="B172" s="38"/>
      <c r="C172" s="3"/>
      <c r="D172" s="19"/>
      <c r="E172" s="3"/>
      <c r="F172" s="14"/>
      <c r="G172" s="64"/>
      <c r="H172" s="48" t="e">
        <f ca="1">VLOOKUP(A172,#REF!,1,0)</f>
        <v>#REF!</v>
      </c>
    </row>
    <row r="173" spans="1:15" ht="19.95" customHeight="1" x14ac:dyDescent="0.25">
      <c r="A173" s="6" t="str">
        <f t="shared" ca="1" si="4"/>
        <v>202508</v>
      </c>
      <c r="B173" s="36"/>
      <c r="C173" s="3"/>
      <c r="D173" s="19"/>
      <c r="E173" s="3"/>
      <c r="F173" s="14"/>
      <c r="G173" s="64"/>
      <c r="H173" s="48" t="e">
        <f ca="1">VLOOKUP(A173,#REF!,1,0)</f>
        <v>#REF!</v>
      </c>
    </row>
    <row r="174" spans="1:15" ht="19.95" customHeight="1" x14ac:dyDescent="0.25">
      <c r="A174" s="6" t="str">
        <f t="shared" ca="1" si="4"/>
        <v>202508</v>
      </c>
      <c r="B174" s="36"/>
      <c r="C174" s="3"/>
      <c r="D174" s="19"/>
      <c r="E174" s="3"/>
      <c r="F174" s="14"/>
      <c r="G174" s="56"/>
      <c r="H174" s="48" t="e">
        <f ca="1">VLOOKUP(A174,#REF!,1,0)</f>
        <v>#REF!</v>
      </c>
    </row>
    <row r="175" spans="1:15" ht="19.95" customHeight="1" x14ac:dyDescent="0.25">
      <c r="A175" s="6" t="str">
        <f t="shared" ca="1" si="4"/>
        <v>202508</v>
      </c>
      <c r="B175" s="36"/>
      <c r="C175" s="3"/>
      <c r="D175" s="19"/>
      <c r="E175" s="3"/>
      <c r="F175" s="14"/>
      <c r="G175" s="64"/>
      <c r="H175" s="48" t="e">
        <f ca="1">VLOOKUP(A175,#REF!,1,0)</f>
        <v>#REF!</v>
      </c>
    </row>
    <row r="176" spans="1:15" ht="19.95" customHeight="1" x14ac:dyDescent="0.25">
      <c r="A176" s="6" t="str">
        <f t="shared" ca="1" si="4"/>
        <v>202508</v>
      </c>
      <c r="B176" s="38"/>
      <c r="C176" s="3"/>
      <c r="D176" s="19"/>
      <c r="E176" s="3"/>
      <c r="F176" s="14"/>
      <c r="G176" s="56"/>
      <c r="H176" s="48" t="e">
        <f ca="1">VLOOKUP(A176,#REF!,1,0)</f>
        <v>#REF!</v>
      </c>
    </row>
    <row r="177" spans="1:8" ht="19.95" customHeight="1" x14ac:dyDescent="0.25">
      <c r="A177" s="6" t="str">
        <f t="shared" ca="1" si="4"/>
        <v>202508</v>
      </c>
      <c r="B177" s="36"/>
      <c r="C177" s="3"/>
      <c r="D177" s="19"/>
      <c r="E177" s="3"/>
      <c r="F177" s="14"/>
      <c r="G177" s="56"/>
      <c r="H177" s="48" t="e">
        <f ca="1">VLOOKUP(A177,#REF!,1,0)</f>
        <v>#REF!</v>
      </c>
    </row>
    <row r="178" spans="1:8" ht="19.95" customHeight="1" x14ac:dyDescent="0.25">
      <c r="A178" s="6" t="str">
        <f t="shared" ca="1" si="4"/>
        <v>202508</v>
      </c>
      <c r="B178" s="36"/>
      <c r="C178" s="3"/>
      <c r="D178" s="19"/>
      <c r="E178" s="3"/>
      <c r="F178" s="14"/>
      <c r="G178" s="56"/>
      <c r="H178" s="48" t="e">
        <f ca="1">VLOOKUP(A178,#REF!,1,0)</f>
        <v>#REF!</v>
      </c>
    </row>
    <row r="179" spans="1:8" ht="19.95" customHeight="1" x14ac:dyDescent="0.25">
      <c r="A179" s="6" t="str">
        <f t="shared" ca="1" si="4"/>
        <v>202508</v>
      </c>
      <c r="B179" s="36"/>
      <c r="C179" s="3"/>
      <c r="D179" s="19"/>
      <c r="E179" s="45"/>
      <c r="F179" s="44"/>
      <c r="G179" s="56"/>
      <c r="H179" s="48" t="e">
        <f ca="1">VLOOKUP(A179,#REF!,1,0)</f>
        <v>#REF!</v>
      </c>
    </row>
    <row r="180" spans="1:8" ht="19.95" customHeight="1" x14ac:dyDescent="0.25">
      <c r="A180" s="6" t="str">
        <f t="shared" ca="1" si="4"/>
        <v>202508</v>
      </c>
      <c r="B180" s="36"/>
      <c r="C180" s="3"/>
      <c r="D180" s="19"/>
      <c r="E180" s="3"/>
      <c r="F180" s="44"/>
      <c r="G180" s="56"/>
      <c r="H180" s="48" t="e">
        <f ca="1">VLOOKUP(A180,#REF!,1,0)</f>
        <v>#REF!</v>
      </c>
    </row>
    <row r="181" spans="1:8" ht="19.95" customHeight="1" x14ac:dyDescent="0.25">
      <c r="A181" s="6" t="str">
        <f t="shared" ca="1" si="4"/>
        <v>202508</v>
      </c>
      <c r="B181" s="36"/>
      <c r="C181" s="3"/>
      <c r="D181" s="19"/>
      <c r="E181" s="3"/>
      <c r="F181" s="14"/>
      <c r="G181" s="64"/>
      <c r="H181" s="48" t="e">
        <f ca="1">VLOOKUP(A181,#REF!,1,0)</f>
        <v>#REF!</v>
      </c>
    </row>
    <row r="182" spans="1:8" ht="19.95" customHeight="1" x14ac:dyDescent="0.25">
      <c r="A182" s="6" t="str">
        <f t="shared" ca="1" si="4"/>
        <v>202508</v>
      </c>
      <c r="B182" s="36"/>
      <c r="C182" s="3"/>
      <c r="D182" s="19"/>
      <c r="E182" s="3"/>
      <c r="F182" s="14"/>
      <c r="G182" s="56"/>
      <c r="H182" s="48" t="e">
        <f ca="1">VLOOKUP(A182,#REF!,1,0)</f>
        <v>#REF!</v>
      </c>
    </row>
    <row r="183" spans="1:8" ht="19.95" customHeight="1" x14ac:dyDescent="0.25">
      <c r="A183" s="6" t="str">
        <f t="shared" ca="1" si="4"/>
        <v>202508</v>
      </c>
      <c r="B183" s="36"/>
      <c r="C183" s="3"/>
      <c r="D183" s="19"/>
      <c r="E183" s="3"/>
      <c r="F183" s="14"/>
      <c r="G183" s="56"/>
      <c r="H183" s="48" t="e">
        <f ca="1">VLOOKUP(A183,#REF!,1,0)</f>
        <v>#REF!</v>
      </c>
    </row>
    <row r="184" spans="1:8" ht="19.95" customHeight="1" x14ac:dyDescent="0.25">
      <c r="A184" s="6" t="str">
        <f t="shared" ca="1" si="4"/>
        <v>202508</v>
      </c>
      <c r="B184" s="36"/>
      <c r="C184" s="3"/>
      <c r="D184" s="19"/>
      <c r="E184" s="3"/>
      <c r="F184" s="14"/>
      <c r="G184" s="56"/>
      <c r="H184" s="48" t="e">
        <f ca="1">VLOOKUP(A184,#REF!,1,0)</f>
        <v>#REF!</v>
      </c>
    </row>
    <row r="185" spans="1:8" ht="19.95" customHeight="1" x14ac:dyDescent="0.25">
      <c r="A185" s="6" t="str">
        <f t="shared" ca="1" si="4"/>
        <v>202508</v>
      </c>
      <c r="B185" s="36"/>
      <c r="C185" s="3"/>
      <c r="D185" s="19"/>
      <c r="E185" s="45"/>
      <c r="F185" s="44"/>
      <c r="G185" s="56"/>
      <c r="H185" s="48" t="e">
        <f ca="1">VLOOKUP(A185,#REF!,1,0)</f>
        <v>#REF!</v>
      </c>
    </row>
    <row r="186" spans="1:8" ht="19.95" customHeight="1" x14ac:dyDescent="0.25">
      <c r="A186" s="6" t="str">
        <f t="shared" ca="1" si="4"/>
        <v>202508</v>
      </c>
      <c r="B186" s="36"/>
      <c r="C186" s="3"/>
      <c r="D186" s="19"/>
      <c r="E186" s="3"/>
      <c r="F186" s="14"/>
      <c r="G186" s="56"/>
      <c r="H186" s="48" t="e">
        <f ca="1">VLOOKUP(A186,#REF!,1,0)</f>
        <v>#REF!</v>
      </c>
    </row>
    <row r="187" spans="1:8" ht="19.95" customHeight="1" x14ac:dyDescent="0.25">
      <c r="A187" s="6" t="str">
        <f t="shared" ca="1" si="4"/>
        <v>202508</v>
      </c>
      <c r="B187" s="36"/>
      <c r="C187" s="3"/>
      <c r="D187" s="19"/>
      <c r="E187" s="3"/>
      <c r="F187" s="14"/>
      <c r="G187" s="64"/>
      <c r="H187" s="48" t="e">
        <f ca="1">VLOOKUP(A187,#REF!,1,0)</f>
        <v>#REF!</v>
      </c>
    </row>
    <row r="188" spans="1:8" ht="19.95" customHeight="1" x14ac:dyDescent="0.25">
      <c r="A188" s="6" t="str">
        <f t="shared" ca="1" si="4"/>
        <v>202508</v>
      </c>
      <c r="B188" s="36"/>
      <c r="C188" s="3"/>
      <c r="D188" s="19"/>
      <c r="E188" s="3"/>
      <c r="F188" s="14"/>
      <c r="G188" s="64"/>
      <c r="H188" s="48" t="e">
        <f ca="1">VLOOKUP(A188,#REF!,1,0)</f>
        <v>#REF!</v>
      </c>
    </row>
    <row r="189" spans="1:8" ht="19.95" customHeight="1" x14ac:dyDescent="0.25">
      <c r="A189" s="6" t="str">
        <f t="shared" ca="1" si="4"/>
        <v>202508</v>
      </c>
      <c r="B189" s="36"/>
      <c r="C189" s="3"/>
      <c r="D189" s="19"/>
      <c r="E189" s="45"/>
      <c r="F189" s="44"/>
      <c r="G189" s="56"/>
      <c r="H189" s="48" t="e">
        <f ca="1">VLOOKUP(A189,#REF!,1,0)</f>
        <v>#REF!</v>
      </c>
    </row>
    <row r="190" spans="1:8" ht="19.95" customHeight="1" x14ac:dyDescent="0.25">
      <c r="A190" s="6" t="str">
        <f t="shared" ca="1" si="4"/>
        <v>202508</v>
      </c>
      <c r="B190" s="36"/>
      <c r="C190" s="3"/>
      <c r="D190" s="19"/>
      <c r="E190" s="3"/>
      <c r="F190" s="14"/>
      <c r="G190" s="56"/>
      <c r="H190" s="48" t="e">
        <f ca="1">VLOOKUP(A190,#REF!,1,0)</f>
        <v>#REF!</v>
      </c>
    </row>
    <row r="191" spans="1:8" ht="19.95" customHeight="1" x14ac:dyDescent="0.25">
      <c r="A191" s="6" t="str">
        <f t="shared" ca="1" si="4"/>
        <v>202508</v>
      </c>
      <c r="B191" s="36"/>
      <c r="C191" s="3"/>
      <c r="D191" s="19"/>
      <c r="E191" s="3"/>
      <c r="F191" s="14"/>
      <c r="G191" s="56"/>
      <c r="H191" s="48" t="e">
        <f ca="1">VLOOKUP(A191,#REF!,1,0)</f>
        <v>#REF!</v>
      </c>
    </row>
    <row r="192" spans="1:8" ht="19.95" customHeight="1" x14ac:dyDescent="0.25">
      <c r="A192" s="6" t="str">
        <f t="shared" ca="1" si="4"/>
        <v>202508</v>
      </c>
      <c r="B192" s="36"/>
      <c r="C192" s="3"/>
      <c r="D192" s="19"/>
      <c r="E192" s="3"/>
      <c r="F192" s="14"/>
      <c r="G192" s="56"/>
      <c r="H192" s="48" t="e">
        <f ca="1">VLOOKUP(A192,#REF!,1,0)</f>
        <v>#REF!</v>
      </c>
    </row>
    <row r="193" spans="1:8" ht="19.95" customHeight="1" x14ac:dyDescent="0.25">
      <c r="A193" s="6" t="str">
        <f t="shared" ca="1" si="4"/>
        <v>202508</v>
      </c>
      <c r="B193" s="36"/>
      <c r="C193" s="3"/>
      <c r="D193" s="19"/>
      <c r="E193" s="3"/>
      <c r="F193" s="14"/>
      <c r="G193" s="64"/>
      <c r="H193" s="48" t="e">
        <f ca="1">VLOOKUP(A193,#REF!,1,0)</f>
        <v>#REF!</v>
      </c>
    </row>
    <row r="194" spans="1:8" ht="19.95" customHeight="1" x14ac:dyDescent="0.25">
      <c r="A194" s="6" t="str">
        <f t="shared" ca="1" si="4"/>
        <v>202508</v>
      </c>
      <c r="B194" s="36"/>
      <c r="C194" s="3"/>
      <c r="D194" s="19"/>
      <c r="E194" s="3"/>
      <c r="F194" s="14"/>
      <c r="G194" s="56"/>
      <c r="H194" s="48" t="e">
        <f ca="1">VLOOKUP(A194,#REF!,1,0)</f>
        <v>#REF!</v>
      </c>
    </row>
    <row r="195" spans="1:8" ht="19.95" customHeight="1" x14ac:dyDescent="0.25">
      <c r="A195" s="6" t="str">
        <f t="shared" ca="1" si="4"/>
        <v>202508</v>
      </c>
      <c r="B195" s="36"/>
      <c r="C195" s="3"/>
      <c r="D195" s="19"/>
      <c r="E195" s="3"/>
      <c r="F195" s="14"/>
      <c r="G195" s="56"/>
      <c r="H195" s="48" t="e">
        <f ca="1">VLOOKUP(A195,#REF!,1,0)</f>
        <v>#REF!</v>
      </c>
    </row>
    <row r="196" spans="1:8" ht="19.95" customHeight="1" x14ac:dyDescent="0.25">
      <c r="A196" s="6" t="str">
        <f t="shared" ca="1" si="4"/>
        <v>202508</v>
      </c>
      <c r="B196" s="36"/>
      <c r="C196" s="3"/>
      <c r="D196" s="19"/>
      <c r="E196" s="3"/>
      <c r="F196" s="14"/>
      <c r="G196" s="64"/>
      <c r="H196" s="48" t="e">
        <f ca="1">VLOOKUP(A196,#REF!,1,0)</f>
        <v>#REF!</v>
      </c>
    </row>
    <row r="197" spans="1:8" ht="19.95" customHeight="1" x14ac:dyDescent="0.25">
      <c r="A197" s="6" t="str">
        <f t="shared" ca="1" si="4"/>
        <v>202508</v>
      </c>
      <c r="B197" s="36"/>
      <c r="C197" s="3"/>
      <c r="D197" s="19"/>
      <c r="E197" s="45"/>
      <c r="F197" s="44"/>
      <c r="G197" s="56"/>
      <c r="H197" s="48" t="e">
        <f ca="1">VLOOKUP(A197,#REF!,1,0)</f>
        <v>#REF!</v>
      </c>
    </row>
    <row r="198" spans="1:8" ht="19.95" customHeight="1" x14ac:dyDescent="0.25">
      <c r="A198" s="6" t="str">
        <f t="shared" ca="1" si="4"/>
        <v>202508</v>
      </c>
      <c r="B198" s="36"/>
      <c r="C198" s="3"/>
      <c r="D198" s="19"/>
      <c r="E198" s="3"/>
      <c r="F198" s="14"/>
      <c r="G198" s="56"/>
      <c r="H198" s="48" t="e">
        <f ca="1">VLOOKUP(A198,#REF!,1,0)</f>
        <v>#REF!</v>
      </c>
    </row>
    <row r="199" spans="1:8" ht="19.95" customHeight="1" x14ac:dyDescent="0.25">
      <c r="A199" s="6" t="str">
        <f t="shared" ca="1" si="4"/>
        <v>202508</v>
      </c>
      <c r="B199" s="36"/>
      <c r="C199" s="3"/>
      <c r="D199" s="19"/>
      <c r="E199" s="3"/>
      <c r="F199" s="14"/>
      <c r="G199" s="56"/>
      <c r="H199" s="48" t="e">
        <f ca="1">VLOOKUP(A199,#REF!,1,0)</f>
        <v>#REF!</v>
      </c>
    </row>
    <row r="200" spans="1:8" ht="19.95" customHeight="1" x14ac:dyDescent="0.25">
      <c r="A200" s="6" t="str">
        <f t="shared" ca="1" si="4"/>
        <v>202508</v>
      </c>
      <c r="B200" s="36"/>
      <c r="C200" s="3"/>
      <c r="D200" s="19"/>
      <c r="E200" s="3"/>
      <c r="F200" s="14"/>
      <c r="G200" s="64"/>
      <c r="H200" s="48" t="e">
        <f ca="1">VLOOKUP(A200,#REF!,1,0)</f>
        <v>#REF!</v>
      </c>
    </row>
    <row r="201" spans="1:8" ht="19.95" customHeight="1" x14ac:dyDescent="0.25">
      <c r="A201" s="6" t="str">
        <f t="shared" ref="A201:A264" ca="1" si="6" xml:space="preserve"> $A$5&amp;$A$6&amp;SUBSTITUTE(C201,".pdf","")</f>
        <v>202508</v>
      </c>
      <c r="B201" s="36"/>
      <c r="C201" s="3"/>
      <c r="D201" s="19"/>
      <c r="E201" s="3"/>
      <c r="F201" s="14"/>
      <c r="G201" s="64"/>
      <c r="H201" s="48" t="e">
        <f ca="1">VLOOKUP(A201,#REF!,1,0)</f>
        <v>#REF!</v>
      </c>
    </row>
    <row r="202" spans="1:8" ht="19.95" customHeight="1" x14ac:dyDescent="0.25">
      <c r="A202" s="6" t="str">
        <f t="shared" ca="1" si="6"/>
        <v>202508</v>
      </c>
      <c r="B202" s="36"/>
      <c r="C202" s="3"/>
      <c r="D202" s="19"/>
      <c r="E202" s="3"/>
      <c r="F202" s="14"/>
      <c r="G202" s="56"/>
      <c r="H202" s="48" t="e">
        <f ca="1">VLOOKUP(A202,#REF!,1,0)</f>
        <v>#REF!</v>
      </c>
    </row>
    <row r="203" spans="1:8" ht="19.95" customHeight="1" x14ac:dyDescent="0.25">
      <c r="A203" s="6" t="str">
        <f t="shared" ca="1" si="6"/>
        <v>202508</v>
      </c>
      <c r="B203" s="36"/>
      <c r="C203" s="3"/>
      <c r="D203" s="19"/>
      <c r="E203" s="3"/>
      <c r="F203" s="14"/>
      <c r="G203" s="64"/>
      <c r="H203" s="48" t="e">
        <f ca="1">VLOOKUP(A203,#REF!,1,0)</f>
        <v>#REF!</v>
      </c>
    </row>
    <row r="204" spans="1:8" ht="19.95" customHeight="1" x14ac:dyDescent="0.25">
      <c r="A204" s="6" t="str">
        <f t="shared" ca="1" si="6"/>
        <v>202508</v>
      </c>
      <c r="B204" s="36"/>
      <c r="C204" s="3"/>
      <c r="D204" s="19"/>
      <c r="E204" s="45"/>
      <c r="F204" s="44"/>
      <c r="G204" s="56"/>
      <c r="H204" s="48" t="e">
        <f ca="1">VLOOKUP(A204,#REF!,1,0)</f>
        <v>#REF!</v>
      </c>
    </row>
    <row r="205" spans="1:8" ht="19.95" customHeight="1" x14ac:dyDescent="0.25">
      <c r="A205" s="6" t="str">
        <f t="shared" ca="1" si="6"/>
        <v>202508</v>
      </c>
      <c r="B205" s="36"/>
      <c r="C205" s="3"/>
      <c r="D205" s="19"/>
      <c r="E205" s="3"/>
      <c r="F205" s="14"/>
      <c r="G205" s="56"/>
      <c r="H205" s="48" t="e">
        <f ca="1">VLOOKUP(A205,#REF!,1,0)</f>
        <v>#REF!</v>
      </c>
    </row>
    <row r="206" spans="1:8" ht="19.95" customHeight="1" x14ac:dyDescent="0.25">
      <c r="A206" s="6" t="str">
        <f t="shared" ca="1" si="6"/>
        <v>202508</v>
      </c>
      <c r="B206" s="36"/>
      <c r="C206" s="3"/>
      <c r="D206" s="19"/>
      <c r="E206" s="45"/>
      <c r="F206" s="44"/>
      <c r="G206" s="56"/>
      <c r="H206" s="48" t="e">
        <f ca="1">VLOOKUP(A206,#REF!,1,0)</f>
        <v>#REF!</v>
      </c>
    </row>
    <row r="207" spans="1:8" ht="19.95" customHeight="1" x14ac:dyDescent="0.25">
      <c r="A207" s="6" t="str">
        <f t="shared" ca="1" si="6"/>
        <v>202508</v>
      </c>
      <c r="B207" s="36"/>
      <c r="C207" s="3"/>
      <c r="D207" s="19"/>
      <c r="E207" s="3"/>
      <c r="F207" s="14"/>
      <c r="G207" s="56"/>
      <c r="H207" s="48" t="e">
        <f ca="1">VLOOKUP(A207,#REF!,1,0)</f>
        <v>#REF!</v>
      </c>
    </row>
    <row r="208" spans="1:8" ht="19.95" customHeight="1" x14ac:dyDescent="0.25">
      <c r="A208" s="6" t="str">
        <f t="shared" ca="1" si="6"/>
        <v>202508</v>
      </c>
      <c r="B208" s="36"/>
      <c r="C208" s="3"/>
      <c r="D208" s="19"/>
      <c r="E208" s="3"/>
      <c r="F208" s="14"/>
      <c r="G208" s="64"/>
      <c r="H208" s="48" t="e">
        <f ca="1">VLOOKUP(A208,#REF!,1,0)</f>
        <v>#REF!</v>
      </c>
    </row>
    <row r="209" spans="1:8" ht="19.95" customHeight="1" x14ac:dyDescent="0.25">
      <c r="A209" s="6" t="str">
        <f t="shared" ca="1" si="6"/>
        <v>202508</v>
      </c>
      <c r="B209" s="36"/>
      <c r="C209" s="3"/>
      <c r="D209" s="19"/>
      <c r="E209" s="3"/>
      <c r="F209" s="14"/>
      <c r="G209" s="56"/>
      <c r="H209" s="48" t="e">
        <f ca="1">VLOOKUP(A209,#REF!,1,0)</f>
        <v>#REF!</v>
      </c>
    </row>
    <row r="210" spans="1:8" ht="19.95" customHeight="1" x14ac:dyDescent="0.25">
      <c r="A210" s="6" t="str">
        <f t="shared" ca="1" si="6"/>
        <v>202508</v>
      </c>
      <c r="B210" s="36"/>
      <c r="C210" s="3"/>
      <c r="D210" s="19"/>
      <c r="E210" s="3"/>
      <c r="F210" s="14"/>
      <c r="G210" s="64"/>
      <c r="H210" s="48" t="e">
        <f ca="1">VLOOKUP(A210,#REF!,1,0)</f>
        <v>#REF!</v>
      </c>
    </row>
    <row r="211" spans="1:8" ht="19.95" customHeight="1" x14ac:dyDescent="0.25">
      <c r="A211" s="6" t="str">
        <f t="shared" ca="1" si="6"/>
        <v>202508</v>
      </c>
      <c r="B211" s="36"/>
      <c r="C211" s="3"/>
      <c r="D211" s="19"/>
      <c r="E211" s="3"/>
      <c r="F211" s="44"/>
      <c r="G211" s="56"/>
      <c r="H211" s="48" t="e">
        <f ca="1">VLOOKUP(A211,#REF!,1,0)</f>
        <v>#REF!</v>
      </c>
    </row>
    <row r="212" spans="1:8" ht="19.95" customHeight="1" x14ac:dyDescent="0.25">
      <c r="A212" s="6" t="str">
        <f t="shared" ca="1" si="6"/>
        <v>202508</v>
      </c>
      <c r="B212" s="36"/>
      <c r="C212" s="3"/>
      <c r="D212" s="19"/>
      <c r="E212" s="3"/>
      <c r="F212" s="14"/>
      <c r="G212" s="56"/>
      <c r="H212" s="48" t="e">
        <f ca="1">VLOOKUP(A212,#REF!,1,0)</f>
        <v>#REF!</v>
      </c>
    </row>
    <row r="213" spans="1:8" ht="19.95" customHeight="1" x14ac:dyDescent="0.25">
      <c r="A213" s="6" t="str">
        <f t="shared" ca="1" si="6"/>
        <v>202508</v>
      </c>
      <c r="B213" s="36"/>
      <c r="C213" s="3"/>
      <c r="D213" s="19"/>
      <c r="E213" s="3"/>
      <c r="F213" s="14"/>
      <c r="G213" s="64"/>
      <c r="H213" s="48" t="e">
        <f ca="1">VLOOKUP(A213,#REF!,1,0)</f>
        <v>#REF!</v>
      </c>
    </row>
    <row r="214" spans="1:8" ht="19.95" customHeight="1" x14ac:dyDescent="0.25">
      <c r="A214" s="6" t="str">
        <f t="shared" ca="1" si="6"/>
        <v>202508</v>
      </c>
      <c r="B214" s="36"/>
      <c r="C214" s="3"/>
      <c r="D214" s="19"/>
      <c r="E214" s="3"/>
      <c r="F214" s="14"/>
      <c r="G214" s="64"/>
      <c r="H214" s="48" t="e">
        <f ca="1">VLOOKUP(A214,#REF!,1,0)</f>
        <v>#REF!</v>
      </c>
    </row>
    <row r="215" spans="1:8" ht="19.95" customHeight="1" x14ac:dyDescent="0.25">
      <c r="A215" s="6" t="str">
        <f t="shared" ca="1" si="6"/>
        <v>202508</v>
      </c>
      <c r="B215" s="36"/>
      <c r="C215" s="3"/>
      <c r="D215" s="19"/>
      <c r="E215" s="3"/>
      <c r="F215" s="14"/>
      <c r="G215" s="64"/>
      <c r="H215" s="48" t="e">
        <f ca="1">VLOOKUP(A215,#REF!,1,0)</f>
        <v>#REF!</v>
      </c>
    </row>
    <row r="216" spans="1:8" ht="19.95" customHeight="1" x14ac:dyDescent="0.25">
      <c r="A216" s="6" t="str">
        <f t="shared" ca="1" si="6"/>
        <v>202508</v>
      </c>
      <c r="B216" s="36"/>
      <c r="C216" s="3"/>
      <c r="D216" s="19"/>
      <c r="E216" s="45"/>
      <c r="F216" s="44"/>
      <c r="G216" s="56"/>
      <c r="H216" s="48" t="e">
        <f ca="1">VLOOKUP(A216,#REF!,1,0)</f>
        <v>#REF!</v>
      </c>
    </row>
    <row r="217" spans="1:8" ht="19.95" customHeight="1" x14ac:dyDescent="0.25">
      <c r="A217" s="6" t="str">
        <f t="shared" ca="1" si="6"/>
        <v>202508</v>
      </c>
      <c r="B217" s="36"/>
      <c r="C217" s="3"/>
      <c r="D217" s="19"/>
      <c r="E217" s="3"/>
      <c r="F217" s="44"/>
      <c r="G217" s="56"/>
      <c r="H217" s="48" t="e">
        <f ca="1">VLOOKUP(A217,#REF!,1,0)</f>
        <v>#REF!</v>
      </c>
    </row>
    <row r="218" spans="1:8" ht="19.95" customHeight="1" x14ac:dyDescent="0.25">
      <c r="A218" s="6" t="str">
        <f t="shared" ca="1" si="6"/>
        <v>202508</v>
      </c>
      <c r="B218" s="36"/>
      <c r="C218" s="3"/>
      <c r="D218" s="19"/>
      <c r="E218" s="3"/>
      <c r="F218" s="14"/>
      <c r="G218" s="56"/>
      <c r="H218" s="48" t="e">
        <f ca="1">VLOOKUP(A218,#REF!,1,0)</f>
        <v>#REF!</v>
      </c>
    </row>
    <row r="219" spans="1:8" ht="19.95" customHeight="1" x14ac:dyDescent="0.25">
      <c r="A219" s="6" t="str">
        <f t="shared" ca="1" si="6"/>
        <v>202508</v>
      </c>
      <c r="B219" s="36"/>
      <c r="C219" s="3"/>
      <c r="D219" s="19"/>
      <c r="E219" s="45"/>
      <c r="F219" s="44"/>
      <c r="G219" s="56"/>
      <c r="H219" s="48" t="e">
        <f ca="1">VLOOKUP(A219,#REF!,1,0)</f>
        <v>#REF!</v>
      </c>
    </row>
    <row r="220" spans="1:8" ht="19.95" customHeight="1" x14ac:dyDescent="0.25">
      <c r="A220" s="6" t="str">
        <f t="shared" ca="1" si="6"/>
        <v>202508</v>
      </c>
      <c r="B220" s="38"/>
      <c r="C220" s="3"/>
      <c r="D220" s="19"/>
      <c r="E220" s="3"/>
      <c r="F220" s="14"/>
      <c r="G220" s="64"/>
      <c r="H220" s="48" t="e">
        <f ca="1">VLOOKUP(A220,#REF!,1,0)</f>
        <v>#REF!</v>
      </c>
    </row>
    <row r="221" spans="1:8" ht="19.95" customHeight="1" x14ac:dyDescent="0.25">
      <c r="A221" s="6" t="str">
        <f t="shared" ca="1" si="6"/>
        <v>202508</v>
      </c>
      <c r="B221" s="36"/>
      <c r="C221" s="3"/>
      <c r="D221" s="19"/>
      <c r="E221" s="3"/>
      <c r="F221" s="14"/>
      <c r="G221" s="56"/>
      <c r="H221" s="48" t="e">
        <f ca="1">VLOOKUP(A221,#REF!,1,0)</f>
        <v>#REF!</v>
      </c>
    </row>
    <row r="222" spans="1:8" ht="19.95" customHeight="1" x14ac:dyDescent="0.25">
      <c r="A222" s="6" t="str">
        <f t="shared" ca="1" si="6"/>
        <v>202508</v>
      </c>
      <c r="B222" s="36"/>
      <c r="C222" s="3"/>
      <c r="D222" s="19"/>
      <c r="E222" s="3"/>
      <c r="F222" s="14"/>
      <c r="G222" s="64"/>
      <c r="H222" s="48" t="e">
        <f ca="1">VLOOKUP(A222,#REF!,1,0)</f>
        <v>#REF!</v>
      </c>
    </row>
    <row r="223" spans="1:8" ht="19.95" customHeight="1" x14ac:dyDescent="0.25">
      <c r="A223" s="6" t="str">
        <f t="shared" ca="1" si="6"/>
        <v>202508</v>
      </c>
      <c r="B223" s="36"/>
      <c r="C223" s="3"/>
      <c r="D223" s="19"/>
      <c r="E223" s="3"/>
      <c r="F223" s="44"/>
      <c r="G223" s="56"/>
      <c r="H223" s="48" t="e">
        <f ca="1">VLOOKUP(A223,#REF!,1,0)</f>
        <v>#REF!</v>
      </c>
    </row>
    <row r="224" spans="1:8" ht="19.95" customHeight="1" x14ac:dyDescent="0.25">
      <c r="A224" s="6" t="str">
        <f t="shared" ca="1" si="6"/>
        <v>202508</v>
      </c>
      <c r="B224" s="36"/>
      <c r="C224" s="3"/>
      <c r="D224" s="19"/>
      <c r="E224" s="3"/>
      <c r="F224" s="14"/>
      <c r="G224" s="56"/>
      <c r="H224" s="48" t="e">
        <f ca="1">VLOOKUP(A224,#REF!,1,0)</f>
        <v>#REF!</v>
      </c>
    </row>
    <row r="225" spans="1:8" ht="19.95" customHeight="1" x14ac:dyDescent="0.25">
      <c r="A225" s="6" t="str">
        <f t="shared" ca="1" si="6"/>
        <v>202508</v>
      </c>
      <c r="B225" s="36"/>
      <c r="C225" s="3"/>
      <c r="D225" s="19"/>
      <c r="E225" s="3"/>
      <c r="F225" s="14"/>
      <c r="G225" s="56"/>
      <c r="H225" s="48" t="e">
        <f ca="1">VLOOKUP(A225,#REF!,1,0)</f>
        <v>#REF!</v>
      </c>
    </row>
    <row r="226" spans="1:8" ht="19.95" customHeight="1" x14ac:dyDescent="0.25">
      <c r="A226" s="6" t="str">
        <f t="shared" ca="1" si="6"/>
        <v>202508</v>
      </c>
      <c r="B226" s="36"/>
      <c r="C226" s="3"/>
      <c r="D226" s="19"/>
      <c r="E226" s="3"/>
      <c r="F226" s="14"/>
      <c r="G226" s="56"/>
      <c r="H226" s="48" t="e">
        <f ca="1">VLOOKUP(A226,#REF!,1,0)</f>
        <v>#REF!</v>
      </c>
    </row>
    <row r="227" spans="1:8" ht="19.95" customHeight="1" x14ac:dyDescent="0.25">
      <c r="A227" s="6" t="str">
        <f t="shared" ca="1" si="6"/>
        <v>202508</v>
      </c>
      <c r="B227" s="36"/>
      <c r="C227" s="3"/>
      <c r="D227" s="19"/>
      <c r="E227" s="3"/>
      <c r="F227" s="14"/>
      <c r="G227" s="64"/>
      <c r="H227" s="48" t="e">
        <f ca="1">VLOOKUP(A227,#REF!,1,0)</f>
        <v>#REF!</v>
      </c>
    </row>
    <row r="228" spans="1:8" ht="19.95" customHeight="1" x14ac:dyDescent="0.25">
      <c r="A228" s="6" t="str">
        <f t="shared" ca="1" si="6"/>
        <v>202508</v>
      </c>
      <c r="B228" s="36"/>
      <c r="C228" s="3"/>
      <c r="D228" s="19"/>
      <c r="E228" s="3"/>
      <c r="F228" s="14"/>
      <c r="G228" s="64"/>
      <c r="H228" s="48" t="e">
        <f ca="1">VLOOKUP(A228,#REF!,1,0)</f>
        <v>#REF!</v>
      </c>
    </row>
    <row r="229" spans="1:8" ht="19.95" customHeight="1" x14ac:dyDescent="0.25">
      <c r="A229" s="6" t="str">
        <f t="shared" ca="1" si="6"/>
        <v>202508</v>
      </c>
      <c r="B229" s="36"/>
      <c r="C229" s="3"/>
      <c r="D229" s="19"/>
      <c r="E229" s="3"/>
      <c r="F229" s="14"/>
      <c r="G229" s="64"/>
      <c r="H229" s="48" t="e">
        <f ca="1">VLOOKUP(A229,#REF!,1,0)</f>
        <v>#REF!</v>
      </c>
    </row>
    <row r="230" spans="1:8" ht="19.95" customHeight="1" x14ac:dyDescent="0.25">
      <c r="A230" s="6" t="str">
        <f t="shared" ca="1" si="6"/>
        <v>202508</v>
      </c>
      <c r="B230" s="38"/>
      <c r="C230" s="3"/>
      <c r="D230" s="19"/>
      <c r="E230" s="3"/>
      <c r="F230" s="14"/>
      <c r="G230" s="56"/>
      <c r="H230" s="48" t="e">
        <f ca="1">VLOOKUP(A230,#REF!,1,0)</f>
        <v>#REF!</v>
      </c>
    </row>
    <row r="231" spans="1:8" ht="19.95" customHeight="1" x14ac:dyDescent="0.25">
      <c r="A231" s="6" t="str">
        <f t="shared" ca="1" si="6"/>
        <v>202508</v>
      </c>
      <c r="B231" s="36"/>
      <c r="C231" s="3"/>
      <c r="D231" s="19"/>
      <c r="E231" s="3"/>
      <c r="F231" s="14"/>
      <c r="G231" s="56"/>
      <c r="H231" s="48" t="e">
        <f ca="1">VLOOKUP(A231,#REF!,1,0)</f>
        <v>#REF!</v>
      </c>
    </row>
    <row r="232" spans="1:8" ht="19.95" customHeight="1" x14ac:dyDescent="0.25">
      <c r="A232" s="6" t="str">
        <f t="shared" ca="1" si="6"/>
        <v>202508</v>
      </c>
      <c r="B232" s="36"/>
      <c r="C232" s="3"/>
      <c r="D232" s="19"/>
      <c r="E232" s="3"/>
      <c r="F232" s="14"/>
      <c r="G232" s="64"/>
      <c r="H232" s="48" t="e">
        <f ca="1">VLOOKUP(A232,#REF!,1,0)</f>
        <v>#REF!</v>
      </c>
    </row>
    <row r="233" spans="1:8" ht="19.95" customHeight="1" x14ac:dyDescent="0.25">
      <c r="A233" s="6" t="str">
        <f t="shared" ca="1" si="6"/>
        <v>202508</v>
      </c>
      <c r="B233" s="36"/>
      <c r="C233" s="3"/>
      <c r="D233" s="19"/>
      <c r="E233" s="45"/>
      <c r="F233" s="44"/>
      <c r="G233" s="56"/>
      <c r="H233" s="48" t="e">
        <f ca="1">VLOOKUP(A233,#REF!,1,0)</f>
        <v>#REF!</v>
      </c>
    </row>
    <row r="234" spans="1:8" ht="19.95" customHeight="1" x14ac:dyDescent="0.25">
      <c r="A234" s="6" t="str">
        <f t="shared" ca="1" si="6"/>
        <v>202508</v>
      </c>
      <c r="B234" s="36"/>
      <c r="C234" s="3"/>
      <c r="D234" s="19"/>
      <c r="E234" s="3"/>
      <c r="F234" s="14"/>
      <c r="G234" s="64"/>
      <c r="H234" s="48" t="e">
        <f ca="1">VLOOKUP(A234,#REF!,1,0)</f>
        <v>#REF!</v>
      </c>
    </row>
    <row r="235" spans="1:8" ht="19.95" customHeight="1" x14ac:dyDescent="0.25">
      <c r="A235" s="6" t="str">
        <f t="shared" ca="1" si="6"/>
        <v>202508</v>
      </c>
      <c r="B235" s="36"/>
      <c r="C235" s="3"/>
      <c r="D235" s="19"/>
      <c r="E235" s="45"/>
      <c r="F235" s="44"/>
      <c r="G235" s="56"/>
      <c r="H235" s="48" t="e">
        <f ca="1">VLOOKUP(A235,#REF!,1,0)</f>
        <v>#REF!</v>
      </c>
    </row>
    <row r="236" spans="1:8" ht="19.95" customHeight="1" x14ac:dyDescent="0.25">
      <c r="A236" s="6" t="str">
        <f t="shared" ca="1" si="6"/>
        <v>202508</v>
      </c>
      <c r="B236" s="36"/>
      <c r="C236" s="3"/>
      <c r="D236" s="19"/>
      <c r="E236" s="3"/>
      <c r="F236" s="14"/>
      <c r="G236" s="64"/>
      <c r="H236" s="48" t="e">
        <f ca="1">VLOOKUP(A236,#REF!,1,0)</f>
        <v>#REF!</v>
      </c>
    </row>
    <row r="237" spans="1:8" ht="19.95" customHeight="1" x14ac:dyDescent="0.25">
      <c r="A237" s="6" t="str">
        <f t="shared" ca="1" si="6"/>
        <v>202508</v>
      </c>
      <c r="B237" s="36"/>
      <c r="C237" s="3"/>
      <c r="D237" s="19"/>
      <c r="E237" s="3"/>
      <c r="F237" s="14"/>
      <c r="G237" s="56"/>
      <c r="H237" s="48" t="e">
        <f ca="1">VLOOKUP(A237,#REF!,1,0)</f>
        <v>#REF!</v>
      </c>
    </row>
    <row r="238" spans="1:8" ht="19.95" customHeight="1" x14ac:dyDescent="0.25">
      <c r="A238" s="6" t="str">
        <f t="shared" ca="1" si="6"/>
        <v>202508</v>
      </c>
      <c r="B238" s="36"/>
      <c r="C238" s="3"/>
      <c r="D238" s="19"/>
      <c r="E238" s="3"/>
      <c r="F238" s="14"/>
      <c r="G238" s="64"/>
      <c r="H238" s="48" t="e">
        <f ca="1">VLOOKUP(A238,#REF!,1,0)</f>
        <v>#REF!</v>
      </c>
    </row>
    <row r="239" spans="1:8" ht="19.95" customHeight="1" x14ac:dyDescent="0.25">
      <c r="A239" s="6" t="str">
        <f t="shared" ca="1" si="6"/>
        <v>202508</v>
      </c>
      <c r="B239" s="36"/>
      <c r="C239" s="3"/>
      <c r="D239" s="19"/>
      <c r="E239" s="3"/>
      <c r="F239" s="14"/>
      <c r="G239" s="56"/>
      <c r="H239" s="48" t="e">
        <f ca="1">VLOOKUP(A239,#REF!,1,0)</f>
        <v>#REF!</v>
      </c>
    </row>
    <row r="240" spans="1:8" ht="19.95" customHeight="1" x14ac:dyDescent="0.25">
      <c r="A240" s="6" t="str">
        <f t="shared" ca="1" si="6"/>
        <v>202508</v>
      </c>
      <c r="B240" s="36"/>
      <c r="C240" s="3"/>
      <c r="D240" s="19"/>
      <c r="E240" s="3"/>
      <c r="F240" s="14"/>
      <c r="G240" s="64"/>
      <c r="H240" s="48" t="e">
        <f ca="1">VLOOKUP(A240,#REF!,1,0)</f>
        <v>#REF!</v>
      </c>
    </row>
    <row r="241" spans="1:175" ht="19.95" customHeight="1" x14ac:dyDescent="0.25">
      <c r="A241" s="6" t="str">
        <f t="shared" ca="1" si="6"/>
        <v>202508</v>
      </c>
      <c r="B241" s="36"/>
      <c r="C241" s="3"/>
      <c r="D241" s="19"/>
      <c r="E241" s="3"/>
      <c r="F241" s="14"/>
      <c r="G241" s="64"/>
      <c r="H241" s="48" t="e">
        <f ca="1">VLOOKUP(A241,#REF!,1,0)</f>
        <v>#REF!</v>
      </c>
    </row>
    <row r="242" spans="1:175" ht="19.95" customHeight="1" x14ac:dyDescent="0.25">
      <c r="A242" s="6" t="str">
        <f t="shared" ca="1" si="6"/>
        <v>202508</v>
      </c>
      <c r="B242" s="36"/>
      <c r="C242" s="3"/>
      <c r="D242" s="19"/>
      <c r="E242" s="3"/>
      <c r="F242" s="14"/>
      <c r="G242" s="56"/>
      <c r="H242" s="48" t="e">
        <f ca="1">VLOOKUP(A242,#REF!,1,0)</f>
        <v>#REF!</v>
      </c>
    </row>
    <row r="243" spans="1:175" ht="19.95" customHeight="1" x14ac:dyDescent="0.25">
      <c r="A243" s="6" t="str">
        <f t="shared" ca="1" si="6"/>
        <v>202508</v>
      </c>
      <c r="B243" s="36"/>
      <c r="C243" s="3"/>
      <c r="D243" s="19"/>
      <c r="E243" s="3"/>
      <c r="F243" s="14"/>
      <c r="G243" s="64"/>
      <c r="H243" s="48" t="e">
        <f ca="1">VLOOKUP(A243,#REF!,1,0)</f>
        <v>#REF!</v>
      </c>
    </row>
    <row r="244" spans="1:175" ht="19.95" customHeight="1" x14ac:dyDescent="0.25">
      <c r="A244" s="6" t="str">
        <f t="shared" ca="1" si="6"/>
        <v>202508</v>
      </c>
      <c r="B244" s="36"/>
      <c r="C244" s="3"/>
      <c r="D244" s="19"/>
      <c r="E244" s="3"/>
      <c r="F244" s="14"/>
      <c r="G244" s="56"/>
      <c r="H244" s="48" t="e">
        <f ca="1">VLOOKUP(A244,#REF!,1,0)</f>
        <v>#REF!</v>
      </c>
    </row>
    <row r="245" spans="1:175" ht="19.95" customHeight="1" x14ac:dyDescent="0.25">
      <c r="A245" s="6" t="str">
        <f t="shared" ca="1" si="6"/>
        <v>202508</v>
      </c>
      <c r="B245" s="36"/>
      <c r="C245" s="3"/>
      <c r="D245" s="19"/>
      <c r="E245" s="45"/>
      <c r="F245" s="44"/>
      <c r="G245" s="56"/>
      <c r="H245" s="48" t="e">
        <f ca="1">VLOOKUP(A245,#REF!,1,0)</f>
        <v>#REF!</v>
      </c>
    </row>
    <row r="246" spans="1:175" ht="19.95" customHeight="1" x14ac:dyDescent="0.25">
      <c r="A246" s="6" t="str">
        <f t="shared" ca="1" si="6"/>
        <v>202508</v>
      </c>
      <c r="B246" s="36"/>
      <c r="C246" s="3"/>
      <c r="D246" s="19"/>
      <c r="E246" s="3"/>
      <c r="F246" s="14"/>
      <c r="G246" s="56"/>
      <c r="H246" s="48" t="e">
        <f ca="1">VLOOKUP(A246,#REF!,1,0)</f>
        <v>#REF!</v>
      </c>
    </row>
    <row r="247" spans="1:175" ht="19.95" customHeight="1" x14ac:dyDescent="0.25">
      <c r="A247" s="6" t="str">
        <f t="shared" ca="1" si="6"/>
        <v>202508</v>
      </c>
      <c r="B247" s="36"/>
      <c r="C247" s="3"/>
      <c r="D247" s="19"/>
      <c r="E247" s="3"/>
      <c r="F247" s="14"/>
      <c r="G247" s="56"/>
      <c r="H247" s="48" t="e">
        <f ca="1">VLOOKUP(A247,#REF!,1,0)</f>
        <v>#REF!</v>
      </c>
    </row>
    <row r="248" spans="1:175" ht="19.95" customHeight="1" x14ac:dyDescent="0.25">
      <c r="A248" s="6" t="str">
        <f t="shared" ca="1" si="6"/>
        <v>202508</v>
      </c>
      <c r="B248" s="36"/>
      <c r="C248" s="3"/>
      <c r="D248" s="19"/>
      <c r="E248" s="3"/>
      <c r="F248" s="44"/>
      <c r="G248" s="56"/>
      <c r="H248" s="48" t="e">
        <f ca="1">VLOOKUP(A248,#REF!,1,0)</f>
        <v>#REF!</v>
      </c>
    </row>
    <row r="249" spans="1:175" ht="19.95" customHeight="1" x14ac:dyDescent="0.25">
      <c r="A249" s="6" t="str">
        <f t="shared" ca="1" si="6"/>
        <v>202508</v>
      </c>
      <c r="B249" s="36"/>
      <c r="C249" s="3"/>
      <c r="D249" s="19"/>
      <c r="E249" s="3"/>
      <c r="F249" s="44"/>
      <c r="G249" s="56"/>
      <c r="H249" s="48" t="e">
        <f ca="1">VLOOKUP(A249,#REF!,1,0)</f>
        <v>#REF!</v>
      </c>
    </row>
    <row r="250" spans="1:175" ht="19.95" customHeight="1" x14ac:dyDescent="0.25">
      <c r="A250" s="6" t="str">
        <f t="shared" ca="1" si="6"/>
        <v>202508</v>
      </c>
      <c r="B250" s="36"/>
      <c r="C250" s="3"/>
      <c r="D250" s="19"/>
      <c r="E250" s="3"/>
      <c r="F250" s="44"/>
      <c r="G250" s="56"/>
      <c r="H250" s="48" t="e">
        <f ca="1">VLOOKUP(A250,#REF!,1,0)</f>
        <v>#REF!</v>
      </c>
    </row>
    <row r="251" spans="1:175" ht="19.95" customHeight="1" x14ac:dyDescent="0.25">
      <c r="A251" s="6" t="str">
        <f t="shared" ca="1" si="6"/>
        <v>202508</v>
      </c>
      <c r="B251" s="36"/>
      <c r="C251" s="3"/>
      <c r="D251" s="19"/>
      <c r="E251" s="45"/>
      <c r="F251" s="44"/>
      <c r="G251" s="56"/>
      <c r="H251" s="48" t="e">
        <f ca="1">VLOOKUP(A251,#REF!,1,0)</f>
        <v>#REF!</v>
      </c>
    </row>
    <row r="252" spans="1:175" ht="19.95" customHeight="1" x14ac:dyDescent="0.25">
      <c r="A252" s="6" t="str">
        <f t="shared" ca="1" si="6"/>
        <v>202508</v>
      </c>
      <c r="B252" s="36"/>
      <c r="C252" s="3"/>
      <c r="D252" s="19"/>
      <c r="E252" s="3"/>
      <c r="F252" s="14"/>
      <c r="G252" s="56"/>
      <c r="H252" s="48" t="e">
        <f ca="1">VLOOKUP(A252,#REF!,1,0)</f>
        <v>#REF!</v>
      </c>
    </row>
    <row r="253" spans="1:175" ht="19.95" customHeight="1" x14ac:dyDescent="0.25">
      <c r="A253" s="6" t="str">
        <f t="shared" ca="1" si="6"/>
        <v>202508</v>
      </c>
      <c r="B253" s="36"/>
      <c r="C253" s="3"/>
      <c r="D253" s="19"/>
      <c r="E253" s="3"/>
      <c r="F253" s="14"/>
      <c r="G253" s="56"/>
      <c r="H253" s="48" t="e">
        <f ca="1">VLOOKUP(A253,#REF!,1,0)</f>
        <v>#REF!</v>
      </c>
    </row>
    <row r="254" spans="1:175" ht="19.95" customHeight="1" x14ac:dyDescent="0.25">
      <c r="A254" s="6" t="str">
        <f t="shared" ca="1" si="6"/>
        <v>202508</v>
      </c>
      <c r="B254" s="38"/>
      <c r="C254" s="3"/>
      <c r="D254" s="19"/>
      <c r="E254" s="3"/>
      <c r="F254" s="14"/>
      <c r="G254" s="56"/>
      <c r="H254" s="48" t="e">
        <f ca="1">VLOOKUP(A254,#REF!,1,0)</f>
        <v>#REF!</v>
      </c>
    </row>
    <row r="255" spans="1:175" ht="19.95" customHeight="1" x14ac:dyDescent="0.25">
      <c r="A255" s="6" t="str">
        <f t="shared" ca="1" si="6"/>
        <v>202508</v>
      </c>
      <c r="B255" s="36"/>
      <c r="C255" s="3"/>
      <c r="D255" s="19"/>
      <c r="E255" s="45"/>
      <c r="F255" s="44"/>
      <c r="G255" s="56"/>
      <c r="H255" s="48" t="e">
        <f ca="1">VLOOKUP(A255,#REF!,1,0)</f>
        <v>#REF!</v>
      </c>
    </row>
    <row r="256" spans="1:175" ht="19.95" customHeight="1" x14ac:dyDescent="0.25">
      <c r="A256" s="6" t="str">
        <f t="shared" ca="1" si="6"/>
        <v>202508</v>
      </c>
      <c r="B256" s="36"/>
      <c r="C256" s="3"/>
      <c r="D256" s="19"/>
      <c r="E256" s="3"/>
      <c r="F256" s="14"/>
      <c r="G256" s="56"/>
      <c r="H256" s="48" t="e">
        <f ca="1">VLOOKUP(A256,#REF!,1,0)</f>
        <v>#REF!</v>
      </c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  <c r="BX256" s="6"/>
      <c r="BY256" s="6"/>
      <c r="BZ256" s="6"/>
      <c r="CA256" s="6"/>
      <c r="CB256" s="6"/>
      <c r="CC256" s="6"/>
      <c r="CD256" s="6"/>
      <c r="CE256" s="6"/>
      <c r="CF256" s="6"/>
      <c r="CG256" s="6"/>
      <c r="CH256" s="6"/>
      <c r="CI256" s="6"/>
      <c r="CJ256" s="6"/>
      <c r="CK256" s="6"/>
      <c r="CL256" s="6"/>
      <c r="CM256" s="6"/>
      <c r="CN256" s="6"/>
      <c r="CO256" s="6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  <c r="ER256" s="6"/>
      <c r="ES256" s="6"/>
      <c r="ET256" s="6"/>
      <c r="EU256" s="6"/>
      <c r="EV256" s="6"/>
      <c r="EW256" s="6"/>
      <c r="EX256" s="6"/>
      <c r="EY256" s="6"/>
      <c r="EZ256" s="6"/>
      <c r="FA256" s="6"/>
      <c r="FB256" s="6"/>
      <c r="FC256" s="6"/>
      <c r="FD256" s="6"/>
      <c r="FE256" s="6"/>
      <c r="FF256" s="6"/>
      <c r="FG256" s="6"/>
      <c r="FH256" s="6"/>
      <c r="FI256" s="6"/>
      <c r="FJ256" s="6"/>
      <c r="FK256" s="6"/>
      <c r="FL256" s="6"/>
      <c r="FM256" s="6"/>
      <c r="FN256" s="6"/>
      <c r="FO256" s="6"/>
      <c r="FP256" s="6"/>
      <c r="FQ256" s="6"/>
      <c r="FR256" s="6"/>
      <c r="FS256" s="6"/>
    </row>
    <row r="257" spans="1:8" ht="19.95" customHeight="1" x14ac:dyDescent="0.25">
      <c r="A257" s="6" t="str">
        <f t="shared" ca="1" si="6"/>
        <v>202508</v>
      </c>
      <c r="B257" s="36"/>
      <c r="C257" s="3"/>
      <c r="D257" s="19"/>
      <c r="E257" s="3"/>
      <c r="F257" s="14"/>
      <c r="G257" s="56"/>
      <c r="H257" s="48" t="e">
        <f ca="1">VLOOKUP(A257,#REF!,1,0)</f>
        <v>#REF!</v>
      </c>
    </row>
    <row r="258" spans="1:8" ht="19.95" customHeight="1" x14ac:dyDescent="0.25">
      <c r="A258" s="6" t="str">
        <f t="shared" ca="1" si="6"/>
        <v>202508</v>
      </c>
      <c r="B258" s="36"/>
      <c r="C258" s="3"/>
      <c r="D258" s="19"/>
      <c r="E258" s="3"/>
      <c r="F258" s="44"/>
      <c r="G258" s="56"/>
      <c r="H258" s="48" t="e">
        <f ca="1">VLOOKUP(A258,#REF!,1,0)</f>
        <v>#REF!</v>
      </c>
    </row>
    <row r="259" spans="1:8" ht="19.95" customHeight="1" x14ac:dyDescent="0.25">
      <c r="A259" s="6" t="str">
        <f t="shared" ca="1" si="6"/>
        <v>202508</v>
      </c>
      <c r="B259" s="36"/>
      <c r="C259" s="3"/>
      <c r="D259" s="19"/>
      <c r="E259" s="45"/>
      <c r="F259" s="44"/>
      <c r="G259" s="56"/>
      <c r="H259" s="48" t="e">
        <f ca="1">VLOOKUP(A259,#REF!,1,0)</f>
        <v>#REF!</v>
      </c>
    </row>
    <row r="260" spans="1:8" ht="19.95" customHeight="1" x14ac:dyDescent="0.25">
      <c r="A260" s="6" t="str">
        <f t="shared" ca="1" si="6"/>
        <v>202508</v>
      </c>
      <c r="B260" s="36"/>
      <c r="C260" s="3"/>
      <c r="D260" s="19"/>
      <c r="E260" s="3"/>
      <c r="F260" s="44"/>
      <c r="G260" s="56"/>
      <c r="H260" s="48" t="e">
        <f ca="1">VLOOKUP(A260,#REF!,1,0)</f>
        <v>#REF!</v>
      </c>
    </row>
    <row r="261" spans="1:8" ht="19.95" customHeight="1" x14ac:dyDescent="0.25">
      <c r="A261" s="6" t="str">
        <f t="shared" ca="1" si="6"/>
        <v>202508</v>
      </c>
      <c r="B261" s="36"/>
      <c r="C261" s="3"/>
      <c r="D261" s="19"/>
      <c r="E261" s="3"/>
      <c r="F261" s="14"/>
      <c r="G261" s="56"/>
      <c r="H261" s="48" t="e">
        <f ca="1">VLOOKUP(A261,#REF!,1,0)</f>
        <v>#REF!</v>
      </c>
    </row>
    <row r="262" spans="1:8" ht="19.95" customHeight="1" x14ac:dyDescent="0.25">
      <c r="A262" s="6" t="str">
        <f t="shared" ca="1" si="6"/>
        <v>202508</v>
      </c>
      <c r="B262" s="36"/>
      <c r="C262" s="3"/>
      <c r="D262" s="19"/>
      <c r="E262" s="45"/>
      <c r="F262" s="14"/>
      <c r="G262" s="56"/>
      <c r="H262" s="48" t="e">
        <f ca="1">VLOOKUP(A262,#REF!,1,0)</f>
        <v>#REF!</v>
      </c>
    </row>
    <row r="263" spans="1:8" ht="19.95" customHeight="1" x14ac:dyDescent="0.25">
      <c r="A263" s="6" t="str">
        <f t="shared" ca="1" si="6"/>
        <v>202508</v>
      </c>
      <c r="B263" s="36"/>
      <c r="C263" s="3"/>
      <c r="D263" s="19"/>
      <c r="E263" s="3"/>
      <c r="F263" s="14"/>
      <c r="G263" s="56"/>
      <c r="H263" s="48" t="e">
        <f ca="1">VLOOKUP(A263,#REF!,1,0)</f>
        <v>#REF!</v>
      </c>
    </row>
    <row r="264" spans="1:8" ht="19.95" customHeight="1" x14ac:dyDescent="0.25">
      <c r="A264" s="6" t="str">
        <f t="shared" ca="1" si="6"/>
        <v>202508</v>
      </c>
      <c r="B264" s="36"/>
      <c r="C264" s="3"/>
      <c r="D264" s="19"/>
      <c r="E264" s="3"/>
      <c r="F264" s="44"/>
      <c r="G264" s="56"/>
      <c r="H264" s="48" t="e">
        <f ca="1">VLOOKUP(A264,#REF!,1,0)</f>
        <v>#REF!</v>
      </c>
    </row>
    <row r="265" spans="1:8" ht="19.95" customHeight="1" x14ac:dyDescent="0.25">
      <c r="A265" s="6" t="str">
        <f t="shared" ref="A265:A328" ca="1" si="7" xml:space="preserve"> $A$5&amp;$A$6&amp;SUBSTITUTE(C265,".pdf","")</f>
        <v>202508</v>
      </c>
      <c r="B265" s="38"/>
      <c r="C265" s="3"/>
      <c r="D265" s="19"/>
      <c r="E265" s="3"/>
      <c r="F265" s="14"/>
      <c r="G265" s="64"/>
      <c r="H265" s="48" t="e">
        <f ca="1">VLOOKUP(A265,#REF!,1,0)</f>
        <v>#REF!</v>
      </c>
    </row>
    <row r="266" spans="1:8" ht="19.95" customHeight="1" x14ac:dyDescent="0.25">
      <c r="A266" s="6" t="str">
        <f t="shared" ca="1" si="7"/>
        <v>202508</v>
      </c>
      <c r="B266" s="36"/>
      <c r="C266" s="3"/>
      <c r="D266" s="19"/>
      <c r="E266" s="3"/>
      <c r="F266" s="44"/>
      <c r="G266" s="56"/>
      <c r="H266" s="48" t="e">
        <f ca="1">VLOOKUP(A266,#REF!,1,0)</f>
        <v>#REF!</v>
      </c>
    </row>
    <row r="267" spans="1:8" ht="19.95" customHeight="1" x14ac:dyDescent="0.25">
      <c r="A267" s="6" t="str">
        <f t="shared" ca="1" si="7"/>
        <v>202508</v>
      </c>
      <c r="B267" s="36"/>
      <c r="C267" s="3"/>
      <c r="D267" s="19"/>
      <c r="E267" s="3"/>
      <c r="F267" s="44"/>
      <c r="G267" s="56"/>
      <c r="H267" s="48" t="e">
        <f ca="1">VLOOKUP(A267,#REF!,1,0)</f>
        <v>#REF!</v>
      </c>
    </row>
    <row r="268" spans="1:8" ht="19.95" customHeight="1" x14ac:dyDescent="0.25">
      <c r="A268" s="6" t="str">
        <f t="shared" ca="1" si="7"/>
        <v>202508</v>
      </c>
      <c r="B268" s="36"/>
      <c r="C268" s="3"/>
      <c r="D268" s="19"/>
      <c r="E268" s="3"/>
      <c r="F268" s="14"/>
      <c r="G268" s="56"/>
      <c r="H268" s="48" t="e">
        <f ca="1">VLOOKUP(A268,#REF!,1,0)</f>
        <v>#REF!</v>
      </c>
    </row>
    <row r="269" spans="1:8" ht="19.95" customHeight="1" x14ac:dyDescent="0.25">
      <c r="A269" s="6" t="str">
        <f t="shared" ca="1" si="7"/>
        <v>202508</v>
      </c>
      <c r="B269" s="36"/>
      <c r="C269" s="3"/>
      <c r="D269" s="19"/>
      <c r="E269" s="3"/>
      <c r="F269" s="14"/>
      <c r="G269" s="64"/>
      <c r="H269" s="48" t="e">
        <f ca="1">VLOOKUP(A269,#REF!,1,0)</f>
        <v>#REF!</v>
      </c>
    </row>
    <row r="270" spans="1:8" ht="19.95" customHeight="1" x14ac:dyDescent="0.25">
      <c r="A270" s="6" t="str">
        <f t="shared" ca="1" si="7"/>
        <v>202508</v>
      </c>
      <c r="B270" s="36"/>
      <c r="C270" s="3"/>
      <c r="D270" s="19"/>
      <c r="E270" s="3"/>
      <c r="F270" s="14"/>
      <c r="G270" s="56"/>
      <c r="H270" s="48" t="e">
        <f ca="1">VLOOKUP(A270,#REF!,1,0)</f>
        <v>#REF!</v>
      </c>
    </row>
    <row r="271" spans="1:8" ht="19.95" customHeight="1" x14ac:dyDescent="0.25">
      <c r="A271" s="6" t="str">
        <f t="shared" ca="1" si="7"/>
        <v>202508</v>
      </c>
      <c r="B271" s="36"/>
      <c r="C271" s="3"/>
      <c r="D271" s="19"/>
      <c r="E271" s="3"/>
      <c r="F271" s="14"/>
      <c r="G271" s="64"/>
      <c r="H271" s="48" t="e">
        <f ca="1">VLOOKUP(A271,#REF!,1,0)</f>
        <v>#REF!</v>
      </c>
    </row>
    <row r="272" spans="1:8" ht="19.95" customHeight="1" x14ac:dyDescent="0.25">
      <c r="A272" s="6" t="str">
        <f t="shared" ca="1" si="7"/>
        <v>202508</v>
      </c>
      <c r="B272" s="36"/>
      <c r="C272" s="3"/>
      <c r="D272" s="19"/>
      <c r="E272" s="3"/>
      <c r="F272" s="14"/>
      <c r="G272" s="56"/>
      <c r="H272" s="48" t="e">
        <f ca="1">VLOOKUP(A272,#REF!,1,0)</f>
        <v>#REF!</v>
      </c>
    </row>
    <row r="273" spans="1:8" ht="19.95" customHeight="1" x14ac:dyDescent="0.25">
      <c r="A273" s="6" t="str">
        <f t="shared" ca="1" si="7"/>
        <v>202508</v>
      </c>
      <c r="B273" s="36"/>
      <c r="C273" s="3"/>
      <c r="D273" s="19"/>
      <c r="E273" s="3"/>
      <c r="F273" s="14"/>
      <c r="G273" s="64"/>
      <c r="H273" s="48" t="e">
        <f ca="1">VLOOKUP(A273,#REF!,1,0)</f>
        <v>#REF!</v>
      </c>
    </row>
    <row r="274" spans="1:8" ht="19.95" customHeight="1" x14ac:dyDescent="0.25">
      <c r="A274" s="6" t="str">
        <f t="shared" ca="1" si="7"/>
        <v>202508</v>
      </c>
      <c r="B274" s="36"/>
      <c r="C274" s="3"/>
      <c r="D274" s="19"/>
      <c r="E274" s="3"/>
      <c r="F274" s="14"/>
      <c r="G274" s="56"/>
      <c r="H274" s="48" t="e">
        <f ca="1">VLOOKUP(A274,#REF!,1,0)</f>
        <v>#REF!</v>
      </c>
    </row>
    <row r="275" spans="1:8" ht="19.95" customHeight="1" x14ac:dyDescent="0.25">
      <c r="A275" s="6" t="str">
        <f t="shared" ca="1" si="7"/>
        <v>202508</v>
      </c>
      <c r="B275" s="36"/>
      <c r="C275" s="3"/>
      <c r="D275" s="19"/>
      <c r="E275" s="3"/>
      <c r="F275" s="14"/>
      <c r="G275" s="64"/>
      <c r="H275" s="48" t="e">
        <f ca="1">VLOOKUP(A275,#REF!,1,0)</f>
        <v>#REF!</v>
      </c>
    </row>
    <row r="276" spans="1:8" ht="19.95" customHeight="1" x14ac:dyDescent="0.25">
      <c r="A276" s="6" t="str">
        <f t="shared" ca="1" si="7"/>
        <v>202508</v>
      </c>
      <c r="B276" s="36"/>
      <c r="C276" s="3"/>
      <c r="D276" s="19"/>
      <c r="E276" s="3"/>
      <c r="F276" s="14"/>
      <c r="G276" s="64"/>
      <c r="H276" s="48" t="e">
        <f ca="1">VLOOKUP(A276,#REF!,1,0)</f>
        <v>#REF!</v>
      </c>
    </row>
    <row r="277" spans="1:8" ht="19.95" customHeight="1" x14ac:dyDescent="0.25">
      <c r="A277" s="6" t="str">
        <f t="shared" ca="1" si="7"/>
        <v>202508</v>
      </c>
      <c r="B277" s="36"/>
      <c r="C277" s="3"/>
      <c r="D277" s="19"/>
      <c r="E277" s="3"/>
      <c r="F277" s="44"/>
      <c r="G277" s="56"/>
      <c r="H277" s="48" t="e">
        <f ca="1">VLOOKUP(A277,#REF!,1,0)</f>
        <v>#REF!</v>
      </c>
    </row>
    <row r="278" spans="1:8" ht="19.95" customHeight="1" x14ac:dyDescent="0.25">
      <c r="A278" s="6" t="str">
        <f t="shared" ca="1" si="7"/>
        <v>202508</v>
      </c>
      <c r="B278" s="36"/>
      <c r="C278" s="3"/>
      <c r="D278" s="19"/>
      <c r="E278" s="3"/>
      <c r="F278" s="44"/>
      <c r="G278" s="56"/>
      <c r="H278" s="48" t="e">
        <f ca="1">VLOOKUP(A278,#REF!,1,0)</f>
        <v>#REF!</v>
      </c>
    </row>
    <row r="279" spans="1:8" ht="19.95" customHeight="1" x14ac:dyDescent="0.25">
      <c r="A279" s="6" t="str">
        <f t="shared" ca="1" si="7"/>
        <v>202508</v>
      </c>
      <c r="B279" s="36"/>
      <c r="C279" s="3"/>
      <c r="D279" s="19"/>
      <c r="E279" s="3"/>
      <c r="F279" s="14"/>
      <c r="G279" s="56"/>
      <c r="H279" s="48" t="e">
        <f ca="1">VLOOKUP(A279,#REF!,1,0)</f>
        <v>#REF!</v>
      </c>
    </row>
    <row r="280" spans="1:8" ht="19.95" customHeight="1" x14ac:dyDescent="0.25">
      <c r="A280" s="6" t="str">
        <f t="shared" ca="1" si="7"/>
        <v>202508</v>
      </c>
      <c r="B280" s="36"/>
      <c r="C280" s="3"/>
      <c r="D280" s="19"/>
      <c r="E280" s="3"/>
      <c r="F280" s="14"/>
      <c r="G280" s="56"/>
      <c r="H280" s="48" t="e">
        <f ca="1">VLOOKUP(A280,#REF!,1,0)</f>
        <v>#REF!</v>
      </c>
    </row>
    <row r="281" spans="1:8" ht="19.95" customHeight="1" x14ac:dyDescent="0.25">
      <c r="A281" s="6" t="str">
        <f t="shared" ca="1" si="7"/>
        <v>202508</v>
      </c>
      <c r="B281" s="36"/>
      <c r="C281" s="3"/>
      <c r="D281" s="19"/>
      <c r="E281" s="3"/>
      <c r="F281" s="14"/>
      <c r="G281" s="64"/>
      <c r="H281" s="48" t="e">
        <f ca="1">VLOOKUP(A281,#REF!,1,0)</f>
        <v>#REF!</v>
      </c>
    </row>
    <row r="282" spans="1:8" ht="19.95" customHeight="1" x14ac:dyDescent="0.25">
      <c r="A282" s="6" t="str">
        <f t="shared" ca="1" si="7"/>
        <v>202508</v>
      </c>
      <c r="B282" s="36"/>
      <c r="C282" s="3"/>
      <c r="D282" s="19"/>
      <c r="E282" s="3"/>
      <c r="F282" s="14"/>
      <c r="G282" s="56"/>
      <c r="H282" s="48" t="e">
        <f ca="1">VLOOKUP(A282,#REF!,1,0)</f>
        <v>#REF!</v>
      </c>
    </row>
    <row r="283" spans="1:8" ht="19.95" customHeight="1" x14ac:dyDescent="0.25">
      <c r="A283" s="6" t="str">
        <f t="shared" ca="1" si="7"/>
        <v>202508</v>
      </c>
      <c r="B283" s="36"/>
      <c r="C283" s="3"/>
      <c r="D283" s="19"/>
      <c r="E283" s="45"/>
      <c r="F283" s="44"/>
      <c r="G283" s="56"/>
      <c r="H283" s="48" t="e">
        <f ca="1">VLOOKUP(A283,#REF!,1,0)</f>
        <v>#REF!</v>
      </c>
    </row>
    <row r="284" spans="1:8" ht="19.95" customHeight="1" x14ac:dyDescent="0.25">
      <c r="A284" s="6" t="str">
        <f t="shared" ca="1" si="7"/>
        <v>202508</v>
      </c>
      <c r="B284" s="36"/>
      <c r="C284" s="3"/>
      <c r="D284" s="19"/>
      <c r="E284" s="3"/>
      <c r="F284" s="14"/>
      <c r="G284" s="64"/>
      <c r="H284" s="48" t="e">
        <f ca="1">VLOOKUP(A284,#REF!,1,0)</f>
        <v>#REF!</v>
      </c>
    </row>
    <row r="285" spans="1:8" ht="19.95" customHeight="1" x14ac:dyDescent="0.25">
      <c r="A285" s="6" t="str">
        <f t="shared" ca="1" si="7"/>
        <v>202508</v>
      </c>
      <c r="B285" s="36"/>
      <c r="C285" s="3"/>
      <c r="D285" s="19"/>
      <c r="E285" s="3"/>
      <c r="F285" s="14"/>
      <c r="G285" s="56"/>
      <c r="H285" s="48" t="e">
        <f ca="1">VLOOKUP(A285,#REF!,1,0)</f>
        <v>#REF!</v>
      </c>
    </row>
    <row r="286" spans="1:8" ht="19.95" customHeight="1" x14ac:dyDescent="0.25">
      <c r="A286" s="6" t="str">
        <f t="shared" ca="1" si="7"/>
        <v>202508</v>
      </c>
      <c r="B286" s="36"/>
      <c r="C286" s="3"/>
      <c r="D286" s="19"/>
      <c r="E286" s="3"/>
      <c r="F286" s="14"/>
      <c r="G286" s="56"/>
      <c r="H286" s="48" t="e">
        <f ca="1">VLOOKUP(A286,#REF!,1,0)</f>
        <v>#REF!</v>
      </c>
    </row>
    <row r="287" spans="1:8" ht="19.95" customHeight="1" x14ac:dyDescent="0.25">
      <c r="A287" s="6" t="str">
        <f t="shared" ca="1" si="7"/>
        <v>202508</v>
      </c>
      <c r="B287" s="36"/>
      <c r="C287" s="3"/>
      <c r="D287" s="19"/>
      <c r="E287" s="3"/>
      <c r="F287" s="14"/>
      <c r="G287" s="56"/>
      <c r="H287" s="48" t="e">
        <f ca="1">VLOOKUP(A287,#REF!,1,0)</f>
        <v>#REF!</v>
      </c>
    </row>
    <row r="288" spans="1:8" ht="19.95" customHeight="1" x14ac:dyDescent="0.25">
      <c r="A288" s="6" t="str">
        <f t="shared" ca="1" si="7"/>
        <v>202508</v>
      </c>
      <c r="B288" s="36"/>
      <c r="C288" s="3"/>
      <c r="D288" s="19"/>
      <c r="E288" s="3"/>
      <c r="F288" s="14"/>
      <c r="G288" s="56"/>
      <c r="H288" s="48" t="e">
        <f ca="1">VLOOKUP(A288,#REF!,1,0)</f>
        <v>#REF!</v>
      </c>
    </row>
    <row r="289" spans="1:8" ht="19.95" customHeight="1" x14ac:dyDescent="0.25">
      <c r="A289" s="6" t="str">
        <f t="shared" ca="1" si="7"/>
        <v>202508</v>
      </c>
      <c r="B289" s="36"/>
      <c r="C289" s="3"/>
      <c r="D289" s="19"/>
      <c r="E289" s="3"/>
      <c r="F289" s="14"/>
      <c r="G289" s="56"/>
      <c r="H289" s="48" t="e">
        <f ca="1">VLOOKUP(A289,#REF!,1,0)</f>
        <v>#REF!</v>
      </c>
    </row>
    <row r="290" spans="1:8" ht="19.95" customHeight="1" x14ac:dyDescent="0.25">
      <c r="A290" s="6" t="str">
        <f t="shared" ca="1" si="7"/>
        <v>202508</v>
      </c>
      <c r="B290" s="36"/>
      <c r="C290" s="3"/>
      <c r="D290" s="19"/>
      <c r="E290" s="3"/>
      <c r="F290" s="44"/>
      <c r="G290" s="56"/>
      <c r="H290" s="48" t="e">
        <f ca="1">VLOOKUP(A290,#REF!,1,0)</f>
        <v>#REF!</v>
      </c>
    </row>
    <row r="291" spans="1:8" ht="19.95" customHeight="1" x14ac:dyDescent="0.25">
      <c r="A291" s="6" t="str">
        <f t="shared" ca="1" si="7"/>
        <v>202508</v>
      </c>
      <c r="B291" s="36"/>
      <c r="C291" s="3"/>
      <c r="D291" s="19"/>
      <c r="E291" s="3"/>
      <c r="F291" s="14"/>
      <c r="G291" s="56"/>
      <c r="H291" s="48" t="e">
        <f ca="1">VLOOKUP(A291,#REF!,1,0)</f>
        <v>#REF!</v>
      </c>
    </row>
    <row r="292" spans="1:8" ht="19.95" customHeight="1" x14ac:dyDescent="0.25">
      <c r="A292" s="6" t="str">
        <f t="shared" ca="1" si="7"/>
        <v>202508</v>
      </c>
      <c r="B292" s="36"/>
      <c r="C292" s="3"/>
      <c r="D292" s="19"/>
      <c r="E292" s="3"/>
      <c r="F292" s="14"/>
      <c r="G292" s="56"/>
      <c r="H292" s="48" t="e">
        <f ca="1">VLOOKUP(A292,#REF!,1,0)</f>
        <v>#REF!</v>
      </c>
    </row>
    <row r="293" spans="1:8" ht="19.95" customHeight="1" x14ac:dyDescent="0.25">
      <c r="A293" s="6" t="str">
        <f t="shared" ca="1" si="7"/>
        <v>202508</v>
      </c>
      <c r="B293" s="36"/>
      <c r="C293" s="3"/>
      <c r="D293" s="19"/>
      <c r="E293" s="3"/>
      <c r="F293" s="14"/>
      <c r="G293" s="56"/>
      <c r="H293" s="48" t="e">
        <f ca="1">VLOOKUP(A293,#REF!,1,0)</f>
        <v>#REF!</v>
      </c>
    </row>
    <row r="294" spans="1:8" ht="19.95" customHeight="1" x14ac:dyDescent="0.25">
      <c r="A294" s="6" t="str">
        <f t="shared" ca="1" si="7"/>
        <v>202508</v>
      </c>
      <c r="B294" s="36"/>
      <c r="C294" s="3"/>
      <c r="D294" s="19"/>
      <c r="E294" s="3"/>
      <c r="F294" s="14"/>
      <c r="G294" s="56"/>
      <c r="H294" s="48" t="e">
        <f ca="1">VLOOKUP(A294,#REF!,1,0)</f>
        <v>#REF!</v>
      </c>
    </row>
    <row r="295" spans="1:8" ht="19.95" customHeight="1" x14ac:dyDescent="0.25">
      <c r="A295" s="6" t="str">
        <f t="shared" ca="1" si="7"/>
        <v>202508</v>
      </c>
      <c r="B295" s="36"/>
      <c r="C295" s="3"/>
      <c r="D295" s="19"/>
      <c r="E295" s="45"/>
      <c r="F295" s="44"/>
      <c r="G295" s="56"/>
      <c r="H295" s="48" t="e">
        <f ca="1">VLOOKUP(A295,#REF!,1,0)</f>
        <v>#REF!</v>
      </c>
    </row>
    <row r="296" spans="1:8" ht="19.95" customHeight="1" x14ac:dyDescent="0.25">
      <c r="A296" s="6" t="str">
        <f t="shared" ca="1" si="7"/>
        <v>202508</v>
      </c>
      <c r="B296" s="36"/>
      <c r="C296" s="3"/>
      <c r="D296" s="19"/>
      <c r="E296" s="45"/>
      <c r="F296" s="44"/>
      <c r="G296" s="56"/>
      <c r="H296" s="48" t="e">
        <f ca="1">VLOOKUP(A296,#REF!,1,0)</f>
        <v>#REF!</v>
      </c>
    </row>
    <row r="297" spans="1:8" ht="19.95" customHeight="1" x14ac:dyDescent="0.25">
      <c r="A297" s="6" t="str">
        <f t="shared" ca="1" si="7"/>
        <v>202508</v>
      </c>
      <c r="B297" s="36"/>
      <c r="C297" s="3"/>
      <c r="D297" s="19"/>
      <c r="E297" s="3"/>
      <c r="F297" s="14"/>
      <c r="G297" s="56"/>
      <c r="H297" s="48" t="e">
        <f ca="1">VLOOKUP(A297,#REF!,1,0)</f>
        <v>#REF!</v>
      </c>
    </row>
    <row r="298" spans="1:8" ht="19.95" customHeight="1" x14ac:dyDescent="0.25">
      <c r="A298" s="6" t="str">
        <f t="shared" ca="1" si="7"/>
        <v>202508</v>
      </c>
      <c r="B298" s="36"/>
      <c r="C298" s="3"/>
      <c r="D298" s="19"/>
      <c r="E298" s="3"/>
      <c r="F298" s="14"/>
      <c r="G298" s="56"/>
      <c r="H298" s="48" t="e">
        <f ca="1">VLOOKUP(A298,#REF!,1,0)</f>
        <v>#REF!</v>
      </c>
    </row>
    <row r="299" spans="1:8" ht="19.95" customHeight="1" x14ac:dyDescent="0.25">
      <c r="A299" s="6" t="str">
        <f t="shared" ca="1" si="7"/>
        <v>202508</v>
      </c>
      <c r="B299" s="36"/>
      <c r="C299" s="3"/>
      <c r="D299" s="19"/>
      <c r="E299" s="3"/>
      <c r="F299" s="14"/>
      <c r="G299" s="56"/>
      <c r="H299" s="48" t="e">
        <f ca="1">VLOOKUP(A299,#REF!,1,0)</f>
        <v>#REF!</v>
      </c>
    </row>
    <row r="300" spans="1:8" ht="19.95" customHeight="1" x14ac:dyDescent="0.25">
      <c r="A300" s="6" t="str">
        <f t="shared" ca="1" si="7"/>
        <v>202508</v>
      </c>
      <c r="B300" s="36"/>
      <c r="C300" s="3"/>
      <c r="D300" s="19"/>
      <c r="E300" s="3"/>
      <c r="F300" s="14"/>
      <c r="G300" s="56"/>
      <c r="H300" s="48" t="e">
        <f ca="1">VLOOKUP(A300,#REF!,1,0)</f>
        <v>#REF!</v>
      </c>
    </row>
    <row r="301" spans="1:8" ht="19.95" customHeight="1" x14ac:dyDescent="0.25">
      <c r="A301" s="6" t="str">
        <f t="shared" ca="1" si="7"/>
        <v>202508</v>
      </c>
      <c r="B301" s="36"/>
      <c r="C301" s="3"/>
      <c r="D301" s="19"/>
      <c r="E301" s="3"/>
      <c r="F301" s="14"/>
      <c r="G301" s="64"/>
      <c r="H301" s="48" t="e">
        <f ca="1">VLOOKUP(A301,#REF!,1,0)</f>
        <v>#REF!</v>
      </c>
    </row>
    <row r="302" spans="1:8" ht="19.95" customHeight="1" x14ac:dyDescent="0.25">
      <c r="A302" s="6" t="str">
        <f t="shared" ca="1" si="7"/>
        <v>202508</v>
      </c>
      <c r="B302" s="36"/>
      <c r="C302" s="3"/>
      <c r="D302" s="19"/>
      <c r="E302" s="3"/>
      <c r="F302" s="14"/>
      <c r="G302" s="64"/>
      <c r="H302" s="48" t="e">
        <f ca="1">VLOOKUP(A302,#REF!,1,0)</f>
        <v>#REF!</v>
      </c>
    </row>
    <row r="303" spans="1:8" ht="19.95" customHeight="1" x14ac:dyDescent="0.25">
      <c r="A303" s="6" t="str">
        <f t="shared" ca="1" si="7"/>
        <v>202508</v>
      </c>
      <c r="B303" s="36"/>
      <c r="C303" s="3"/>
      <c r="D303" s="19"/>
      <c r="E303" s="3"/>
      <c r="F303" s="14"/>
      <c r="G303" s="64"/>
      <c r="H303" s="48" t="e">
        <f ca="1">VLOOKUP(A303,#REF!,1,0)</f>
        <v>#REF!</v>
      </c>
    </row>
    <row r="304" spans="1:8" ht="19.95" customHeight="1" x14ac:dyDescent="0.25">
      <c r="A304" s="6" t="str">
        <f t="shared" ca="1" si="7"/>
        <v>202508</v>
      </c>
      <c r="B304" s="36"/>
      <c r="C304" s="3"/>
      <c r="D304" s="19"/>
      <c r="E304" s="3"/>
      <c r="F304" s="14"/>
      <c r="G304" s="56"/>
      <c r="H304" s="48" t="e">
        <f ca="1">VLOOKUP(A304,#REF!,1,0)</f>
        <v>#REF!</v>
      </c>
    </row>
    <row r="305" spans="1:8" ht="19.95" customHeight="1" x14ac:dyDescent="0.25">
      <c r="A305" s="6" t="str">
        <f t="shared" ca="1" si="7"/>
        <v>202508</v>
      </c>
      <c r="B305" s="36"/>
      <c r="C305" s="3"/>
      <c r="D305" s="19"/>
      <c r="E305" s="3"/>
      <c r="F305" s="14"/>
      <c r="G305" s="56"/>
      <c r="H305" s="48" t="e">
        <f ca="1">VLOOKUP(A305,#REF!,1,0)</f>
        <v>#REF!</v>
      </c>
    </row>
    <row r="306" spans="1:8" ht="19.95" customHeight="1" x14ac:dyDescent="0.25">
      <c r="A306" s="6" t="str">
        <f t="shared" ca="1" si="7"/>
        <v>202508</v>
      </c>
      <c r="B306" s="36"/>
      <c r="C306" s="3"/>
      <c r="D306" s="19"/>
      <c r="E306" s="3"/>
      <c r="F306" s="14"/>
      <c r="G306" s="56"/>
      <c r="H306" s="48" t="e">
        <f ca="1">VLOOKUP(A306,#REF!,1,0)</f>
        <v>#REF!</v>
      </c>
    </row>
    <row r="307" spans="1:8" ht="19.95" customHeight="1" x14ac:dyDescent="0.25">
      <c r="A307" s="6" t="str">
        <f t="shared" ca="1" si="7"/>
        <v>202508</v>
      </c>
      <c r="B307" s="36"/>
      <c r="C307" s="3"/>
      <c r="D307" s="19"/>
      <c r="E307" s="3"/>
      <c r="F307" s="14"/>
      <c r="G307" s="56"/>
      <c r="H307" s="48" t="e">
        <f ca="1">VLOOKUP(A307,#REF!,1,0)</f>
        <v>#REF!</v>
      </c>
    </row>
    <row r="308" spans="1:8" ht="19.95" customHeight="1" x14ac:dyDescent="0.25">
      <c r="A308" s="6" t="str">
        <f t="shared" ca="1" si="7"/>
        <v>202508</v>
      </c>
      <c r="B308" s="36"/>
      <c r="C308" s="3"/>
      <c r="D308" s="19"/>
      <c r="E308" s="3"/>
      <c r="F308" s="14"/>
      <c r="G308" s="56"/>
      <c r="H308" s="48" t="e">
        <f ca="1">VLOOKUP(A308,#REF!,1,0)</f>
        <v>#REF!</v>
      </c>
    </row>
    <row r="309" spans="1:8" ht="19.95" customHeight="1" x14ac:dyDescent="0.25">
      <c r="A309" s="6" t="str">
        <f t="shared" ca="1" si="7"/>
        <v>202508</v>
      </c>
      <c r="B309" s="36"/>
      <c r="C309" s="3"/>
      <c r="D309" s="19"/>
      <c r="E309" s="3"/>
      <c r="F309" s="14"/>
      <c r="G309" s="64"/>
      <c r="H309" s="48" t="e">
        <f ca="1">VLOOKUP(A309,#REF!,1,0)</f>
        <v>#REF!</v>
      </c>
    </row>
    <row r="310" spans="1:8" ht="19.95" customHeight="1" x14ac:dyDescent="0.25">
      <c r="A310" s="6" t="str">
        <f t="shared" ca="1" si="7"/>
        <v>202508</v>
      </c>
      <c r="B310" s="36"/>
      <c r="C310" s="3"/>
      <c r="D310" s="19"/>
      <c r="E310" s="3"/>
      <c r="F310" s="14"/>
      <c r="G310" s="64"/>
      <c r="H310" s="48" t="e">
        <f ca="1">VLOOKUP(A310,#REF!,1,0)</f>
        <v>#REF!</v>
      </c>
    </row>
    <row r="311" spans="1:8" ht="19.95" customHeight="1" x14ac:dyDescent="0.25">
      <c r="A311" s="6" t="str">
        <f t="shared" ca="1" si="7"/>
        <v>202508</v>
      </c>
      <c r="B311" s="36"/>
      <c r="C311" s="3"/>
      <c r="D311" s="19"/>
      <c r="E311" s="3"/>
      <c r="F311" s="14"/>
      <c r="G311" s="64"/>
      <c r="H311" s="48" t="e">
        <f ca="1">VLOOKUP(A311,#REF!,1,0)</f>
        <v>#REF!</v>
      </c>
    </row>
    <row r="312" spans="1:8" ht="19.95" customHeight="1" x14ac:dyDescent="0.25">
      <c r="A312" s="6" t="str">
        <f t="shared" ca="1" si="7"/>
        <v>202508</v>
      </c>
      <c r="B312" s="36"/>
      <c r="C312" s="3"/>
      <c r="D312" s="19"/>
      <c r="E312" s="3"/>
      <c r="F312" s="14"/>
      <c r="G312" s="64"/>
      <c r="H312" s="48" t="e">
        <f ca="1">VLOOKUP(A312,#REF!,1,0)</f>
        <v>#REF!</v>
      </c>
    </row>
    <row r="313" spans="1:8" ht="19.95" customHeight="1" x14ac:dyDescent="0.25">
      <c r="A313" s="6" t="str">
        <f t="shared" ca="1" si="7"/>
        <v>202508</v>
      </c>
      <c r="B313" s="36"/>
      <c r="C313" s="3"/>
      <c r="D313" s="19"/>
      <c r="E313" s="3"/>
      <c r="F313" s="14"/>
      <c r="G313" s="64"/>
      <c r="H313" s="48" t="e">
        <f ca="1">VLOOKUP(A313,#REF!,1,0)</f>
        <v>#REF!</v>
      </c>
    </row>
    <row r="314" spans="1:8" ht="19.95" customHeight="1" x14ac:dyDescent="0.25">
      <c r="A314" s="6" t="str">
        <f t="shared" ca="1" si="7"/>
        <v>202508</v>
      </c>
      <c r="B314" s="36"/>
      <c r="C314" s="3"/>
      <c r="D314" s="19"/>
      <c r="E314" s="3"/>
      <c r="F314" s="14"/>
      <c r="G314" s="64"/>
      <c r="H314" s="48" t="e">
        <f ca="1">VLOOKUP(A314,#REF!,1,0)</f>
        <v>#REF!</v>
      </c>
    </row>
    <row r="315" spans="1:8" ht="19.95" customHeight="1" x14ac:dyDescent="0.25">
      <c r="A315" s="6" t="str">
        <f t="shared" ca="1" si="7"/>
        <v>202508</v>
      </c>
      <c r="B315" s="36"/>
      <c r="C315" s="3"/>
      <c r="D315" s="19"/>
      <c r="E315" s="3"/>
      <c r="F315" s="14"/>
      <c r="G315" s="56"/>
      <c r="H315" s="48" t="e">
        <f ca="1">VLOOKUP(A315,#REF!,1,0)</f>
        <v>#REF!</v>
      </c>
    </row>
    <row r="316" spans="1:8" ht="19.95" customHeight="1" x14ac:dyDescent="0.25">
      <c r="A316" s="6" t="str">
        <f t="shared" ca="1" si="7"/>
        <v>202508</v>
      </c>
      <c r="B316" s="36"/>
      <c r="C316" s="3"/>
      <c r="D316" s="19"/>
      <c r="E316" s="3"/>
      <c r="F316" s="14"/>
      <c r="G316" s="56"/>
      <c r="H316" s="48" t="e">
        <f ca="1">VLOOKUP(A316,#REF!,1,0)</f>
        <v>#REF!</v>
      </c>
    </row>
    <row r="317" spans="1:8" ht="19.95" customHeight="1" x14ac:dyDescent="0.25">
      <c r="A317" s="6" t="str">
        <f t="shared" ca="1" si="7"/>
        <v>202508</v>
      </c>
      <c r="B317" s="36"/>
      <c r="C317" s="3"/>
      <c r="D317" s="19"/>
      <c r="E317" s="45"/>
      <c r="F317" s="44"/>
      <c r="G317" s="56"/>
      <c r="H317" s="48" t="e">
        <f ca="1">VLOOKUP(A317,#REF!,1,0)</f>
        <v>#REF!</v>
      </c>
    </row>
    <row r="318" spans="1:8" ht="19.95" customHeight="1" x14ac:dyDescent="0.25">
      <c r="A318" s="6" t="str">
        <f t="shared" ca="1" si="7"/>
        <v>202508</v>
      </c>
      <c r="B318" s="36"/>
      <c r="C318" s="3"/>
      <c r="D318" s="19"/>
      <c r="E318" s="3"/>
      <c r="F318" s="14"/>
      <c r="G318" s="56"/>
      <c r="H318" s="48" t="e">
        <f ca="1">VLOOKUP(A318,#REF!,1,0)</f>
        <v>#REF!</v>
      </c>
    </row>
    <row r="319" spans="1:8" ht="19.95" customHeight="1" x14ac:dyDescent="0.25">
      <c r="A319" s="6" t="str">
        <f t="shared" ca="1" si="7"/>
        <v>202508</v>
      </c>
      <c r="B319" s="36"/>
      <c r="C319" s="3"/>
      <c r="D319" s="19"/>
      <c r="E319" s="3"/>
      <c r="F319" s="14"/>
      <c r="G319" s="64"/>
      <c r="H319" s="48" t="e">
        <f ca="1">VLOOKUP(A319,#REF!,1,0)</f>
        <v>#REF!</v>
      </c>
    </row>
    <row r="320" spans="1:8" ht="19.95" customHeight="1" x14ac:dyDescent="0.25">
      <c r="A320" s="6" t="str">
        <f t="shared" ca="1" si="7"/>
        <v>202508</v>
      </c>
      <c r="B320" s="36"/>
      <c r="C320" s="3"/>
      <c r="D320" s="19"/>
      <c r="E320" s="45"/>
      <c r="F320" s="14"/>
      <c r="G320" s="56"/>
      <c r="H320" s="48" t="e">
        <f ca="1">VLOOKUP(A320,#REF!,1,0)</f>
        <v>#REF!</v>
      </c>
    </row>
    <row r="321" spans="1:8" ht="19.95" customHeight="1" x14ac:dyDescent="0.25">
      <c r="A321" s="6" t="str">
        <f t="shared" ca="1" si="7"/>
        <v>202508</v>
      </c>
      <c r="B321" s="36"/>
      <c r="C321" s="3"/>
      <c r="D321" s="19"/>
      <c r="E321" s="3"/>
      <c r="F321" s="14"/>
      <c r="G321" s="64"/>
      <c r="H321" s="48" t="e">
        <f ca="1">VLOOKUP(A321,#REF!,1,0)</f>
        <v>#REF!</v>
      </c>
    </row>
    <row r="322" spans="1:8" ht="19.95" customHeight="1" x14ac:dyDescent="0.25">
      <c r="A322" s="6" t="str">
        <f t="shared" ca="1" si="7"/>
        <v>202508</v>
      </c>
      <c r="B322" s="36"/>
      <c r="C322" s="3"/>
      <c r="D322" s="19"/>
      <c r="E322" s="3"/>
      <c r="F322" s="14"/>
      <c r="G322" s="56"/>
      <c r="H322" s="48" t="e">
        <f ca="1">VLOOKUP(A322,#REF!,1,0)</f>
        <v>#REF!</v>
      </c>
    </row>
    <row r="323" spans="1:8" ht="19.95" customHeight="1" x14ac:dyDescent="0.25">
      <c r="A323" s="6" t="str">
        <f t="shared" ca="1" si="7"/>
        <v>202508</v>
      </c>
      <c r="B323" s="36"/>
      <c r="C323" s="3"/>
      <c r="D323" s="19"/>
      <c r="E323" s="3"/>
      <c r="F323" s="14"/>
      <c r="G323" s="64"/>
      <c r="H323" s="48" t="e">
        <f ca="1">VLOOKUP(A323,#REF!,1,0)</f>
        <v>#REF!</v>
      </c>
    </row>
    <row r="324" spans="1:8" ht="19.95" customHeight="1" x14ac:dyDescent="0.25">
      <c r="A324" s="6" t="str">
        <f t="shared" ca="1" si="7"/>
        <v>202508</v>
      </c>
      <c r="B324" s="36"/>
      <c r="C324" s="3"/>
      <c r="D324" s="19"/>
      <c r="E324" s="3"/>
      <c r="F324" s="14"/>
      <c r="G324" s="56"/>
      <c r="H324" s="48" t="e">
        <f ca="1">VLOOKUP(A324,#REF!,1,0)</f>
        <v>#REF!</v>
      </c>
    </row>
    <row r="325" spans="1:8" ht="19.95" customHeight="1" x14ac:dyDescent="0.25">
      <c r="A325" s="6" t="str">
        <f t="shared" ca="1" si="7"/>
        <v>202508</v>
      </c>
      <c r="B325" s="36"/>
      <c r="C325" s="3"/>
      <c r="D325" s="19"/>
      <c r="E325" s="3"/>
      <c r="F325" s="14"/>
      <c r="G325" s="56"/>
      <c r="H325" s="48" t="e">
        <f ca="1">VLOOKUP(A325,#REF!,1,0)</f>
        <v>#REF!</v>
      </c>
    </row>
    <row r="326" spans="1:8" ht="19.95" customHeight="1" x14ac:dyDescent="0.25">
      <c r="A326" s="6" t="str">
        <f t="shared" ca="1" si="7"/>
        <v>202508</v>
      </c>
      <c r="B326" s="36"/>
      <c r="C326" s="3"/>
      <c r="D326" s="19"/>
      <c r="E326" s="45"/>
      <c r="F326" s="44"/>
      <c r="G326" s="56"/>
      <c r="H326" s="48" t="e">
        <f ca="1">VLOOKUP(A326,#REF!,1,0)</f>
        <v>#REF!</v>
      </c>
    </row>
    <row r="327" spans="1:8" ht="19.95" customHeight="1" x14ac:dyDescent="0.25">
      <c r="A327" s="6" t="str">
        <f t="shared" ca="1" si="7"/>
        <v>202508</v>
      </c>
      <c r="B327" s="36"/>
      <c r="C327" s="3"/>
      <c r="D327" s="19"/>
      <c r="E327" s="3"/>
      <c r="F327" s="14"/>
      <c r="G327" s="56"/>
      <c r="H327" s="48" t="e">
        <f ca="1">VLOOKUP(A327,#REF!,1,0)</f>
        <v>#REF!</v>
      </c>
    </row>
    <row r="328" spans="1:8" ht="19.95" customHeight="1" x14ac:dyDescent="0.25">
      <c r="A328" s="6" t="str">
        <f t="shared" ca="1" si="7"/>
        <v>202508</v>
      </c>
      <c r="B328" s="36"/>
      <c r="C328" s="3"/>
      <c r="D328" s="19"/>
      <c r="E328" s="3"/>
      <c r="F328" s="44"/>
      <c r="G328" s="56"/>
      <c r="H328" s="48" t="e">
        <f ca="1">VLOOKUP(A328,#REF!,1,0)</f>
        <v>#REF!</v>
      </c>
    </row>
    <row r="329" spans="1:8" ht="19.95" customHeight="1" x14ac:dyDescent="0.25">
      <c r="A329" s="6" t="str">
        <f t="shared" ref="A329:A392" ca="1" si="8" xml:space="preserve"> $A$5&amp;$A$6&amp;SUBSTITUTE(C329,".pdf","")</f>
        <v>202508</v>
      </c>
      <c r="B329" s="36"/>
      <c r="C329" s="3"/>
      <c r="D329" s="19"/>
      <c r="E329" s="3"/>
      <c r="F329" s="14"/>
      <c r="G329" s="64"/>
      <c r="H329" s="48" t="e">
        <f ca="1">VLOOKUP(A329,#REF!,1,0)</f>
        <v>#REF!</v>
      </c>
    </row>
    <row r="330" spans="1:8" ht="19.95" customHeight="1" x14ac:dyDescent="0.25">
      <c r="A330" s="6" t="str">
        <f t="shared" ca="1" si="8"/>
        <v>202508</v>
      </c>
      <c r="B330" s="36"/>
      <c r="C330" s="3"/>
      <c r="D330" s="19"/>
      <c r="E330" s="3"/>
      <c r="F330" s="14"/>
      <c r="G330" s="56"/>
      <c r="H330" s="48" t="e">
        <f ca="1">VLOOKUP(A330,#REF!,1,0)</f>
        <v>#REF!</v>
      </c>
    </row>
    <row r="331" spans="1:8" ht="19.95" customHeight="1" x14ac:dyDescent="0.25">
      <c r="A331" s="6" t="str">
        <f t="shared" ca="1" si="8"/>
        <v>202508</v>
      </c>
      <c r="B331" s="36"/>
      <c r="C331" s="3"/>
      <c r="D331" s="19"/>
      <c r="E331" s="3"/>
      <c r="F331" s="14"/>
      <c r="G331" s="64"/>
      <c r="H331" s="48" t="e">
        <f ca="1">VLOOKUP(A331,#REF!,1,0)</f>
        <v>#REF!</v>
      </c>
    </row>
    <row r="332" spans="1:8" ht="19.95" customHeight="1" x14ac:dyDescent="0.25">
      <c r="A332" s="6" t="str">
        <f t="shared" ca="1" si="8"/>
        <v>202508</v>
      </c>
      <c r="B332" s="36"/>
      <c r="C332" s="3"/>
      <c r="D332" s="19"/>
      <c r="E332" s="3"/>
      <c r="F332" s="14"/>
      <c r="G332" s="56"/>
      <c r="H332" s="48" t="e">
        <f ca="1">VLOOKUP(A332,#REF!,1,0)</f>
        <v>#REF!</v>
      </c>
    </row>
    <row r="333" spans="1:8" ht="19.95" customHeight="1" x14ac:dyDescent="0.25">
      <c r="A333" s="6" t="str">
        <f t="shared" ca="1" si="8"/>
        <v>202508</v>
      </c>
      <c r="B333" s="36"/>
      <c r="C333" s="3"/>
      <c r="D333" s="19"/>
      <c r="E333" s="3"/>
      <c r="F333" s="44"/>
      <c r="G333" s="56"/>
      <c r="H333" s="48" t="e">
        <f ca="1">VLOOKUP(A333,#REF!,1,0)</f>
        <v>#REF!</v>
      </c>
    </row>
    <row r="334" spans="1:8" ht="19.95" customHeight="1" x14ac:dyDescent="0.25">
      <c r="A334" s="6" t="str">
        <f t="shared" ca="1" si="8"/>
        <v>202508</v>
      </c>
      <c r="B334" s="36"/>
      <c r="C334" s="3"/>
      <c r="D334" s="19"/>
      <c r="E334" s="3"/>
      <c r="F334" s="44"/>
      <c r="G334" s="56"/>
      <c r="H334" s="48" t="e">
        <f ca="1">VLOOKUP(A334,#REF!,1,0)</f>
        <v>#REF!</v>
      </c>
    </row>
    <row r="335" spans="1:8" ht="19.95" customHeight="1" x14ac:dyDescent="0.25">
      <c r="A335" s="6" t="str">
        <f t="shared" ca="1" si="8"/>
        <v>202508</v>
      </c>
      <c r="B335" s="36"/>
      <c r="C335" s="3"/>
      <c r="D335" s="19"/>
      <c r="E335" s="3"/>
      <c r="F335" s="14"/>
      <c r="G335" s="56"/>
      <c r="H335" s="48" t="e">
        <f ca="1">VLOOKUP(A335,#REF!,1,0)</f>
        <v>#REF!</v>
      </c>
    </row>
    <row r="336" spans="1:8" ht="19.95" customHeight="1" x14ac:dyDescent="0.25">
      <c r="A336" s="6" t="str">
        <f t="shared" ca="1" si="8"/>
        <v>202508</v>
      </c>
      <c r="B336" s="36"/>
      <c r="C336" s="3"/>
      <c r="D336" s="19"/>
      <c r="E336" s="45"/>
      <c r="F336" s="44"/>
      <c r="G336" s="56"/>
      <c r="H336" s="48" t="e">
        <f ca="1">VLOOKUP(A336,#REF!,1,0)</f>
        <v>#REF!</v>
      </c>
    </row>
    <row r="337" spans="1:8" ht="19.95" customHeight="1" x14ac:dyDescent="0.25">
      <c r="A337" s="6" t="str">
        <f t="shared" ca="1" si="8"/>
        <v>202508</v>
      </c>
      <c r="B337" s="36"/>
      <c r="C337" s="3"/>
      <c r="D337" s="19"/>
      <c r="E337" s="3"/>
      <c r="F337" s="14"/>
      <c r="G337" s="56"/>
      <c r="H337" s="48" t="e">
        <f ca="1">VLOOKUP(A337,#REF!,1,0)</f>
        <v>#REF!</v>
      </c>
    </row>
    <row r="338" spans="1:8" ht="19.95" customHeight="1" x14ac:dyDescent="0.25">
      <c r="A338" s="6" t="str">
        <f t="shared" ca="1" si="8"/>
        <v>202508</v>
      </c>
      <c r="B338" s="36"/>
      <c r="C338" s="3"/>
      <c r="D338" s="19"/>
      <c r="E338" s="3"/>
      <c r="F338" s="14"/>
      <c r="G338" s="64"/>
      <c r="H338" s="48" t="e">
        <f ca="1">VLOOKUP(A338,#REF!,1,0)</f>
        <v>#REF!</v>
      </c>
    </row>
    <row r="339" spans="1:8" ht="19.95" customHeight="1" x14ac:dyDescent="0.25">
      <c r="A339" s="6" t="str">
        <f t="shared" ca="1" si="8"/>
        <v>202508</v>
      </c>
      <c r="B339" s="36"/>
      <c r="C339" s="3"/>
      <c r="D339" s="19"/>
      <c r="E339" s="45"/>
      <c r="F339" s="44"/>
      <c r="G339" s="56"/>
      <c r="H339" s="48" t="e">
        <f ca="1">VLOOKUP(A339,#REF!,1,0)</f>
        <v>#REF!</v>
      </c>
    </row>
    <row r="340" spans="1:8" ht="19.95" customHeight="1" x14ac:dyDescent="0.25">
      <c r="A340" s="6" t="str">
        <f t="shared" ca="1" si="8"/>
        <v>202508</v>
      </c>
      <c r="B340" s="36"/>
      <c r="C340" s="3"/>
      <c r="D340" s="19"/>
      <c r="E340" s="3"/>
      <c r="F340" s="44"/>
      <c r="G340" s="56"/>
      <c r="H340" s="48" t="e">
        <f ca="1">VLOOKUP(A340,#REF!,1,0)</f>
        <v>#REF!</v>
      </c>
    </row>
    <row r="341" spans="1:8" ht="19.95" customHeight="1" x14ac:dyDescent="0.25">
      <c r="A341" s="6" t="str">
        <f t="shared" ca="1" si="8"/>
        <v>202508</v>
      </c>
      <c r="B341" s="36"/>
      <c r="C341" s="3"/>
      <c r="D341" s="19"/>
      <c r="E341" s="3"/>
      <c r="F341" s="14"/>
      <c r="G341" s="64"/>
      <c r="H341" s="48" t="e">
        <f ca="1">VLOOKUP(A341,#REF!,1,0)</f>
        <v>#REF!</v>
      </c>
    </row>
    <row r="342" spans="1:8" ht="19.95" customHeight="1" x14ac:dyDescent="0.25">
      <c r="A342" s="6" t="str">
        <f t="shared" ca="1" si="8"/>
        <v>202508</v>
      </c>
      <c r="B342" s="36"/>
      <c r="C342" s="3"/>
      <c r="D342" s="19"/>
      <c r="E342" s="3"/>
      <c r="F342" s="14"/>
      <c r="G342" s="64"/>
      <c r="H342" s="48" t="e">
        <f ca="1">VLOOKUP(A342,#REF!,1,0)</f>
        <v>#REF!</v>
      </c>
    </row>
    <row r="343" spans="1:8" ht="19.95" customHeight="1" x14ac:dyDescent="0.25">
      <c r="A343" s="6" t="str">
        <f t="shared" ca="1" si="8"/>
        <v>202508</v>
      </c>
      <c r="B343" s="36"/>
      <c r="C343" s="3"/>
      <c r="D343" s="19"/>
      <c r="E343" s="3"/>
      <c r="F343" s="14"/>
      <c r="G343" s="64"/>
      <c r="H343" s="48" t="e">
        <f ca="1">VLOOKUP(A343,#REF!,1,0)</f>
        <v>#REF!</v>
      </c>
    </row>
    <row r="344" spans="1:8" ht="19.95" customHeight="1" x14ac:dyDescent="0.25">
      <c r="A344" s="6" t="str">
        <f t="shared" ca="1" si="8"/>
        <v>202508</v>
      </c>
      <c r="B344" s="36"/>
      <c r="C344" s="3"/>
      <c r="D344" s="19"/>
      <c r="E344" s="3"/>
      <c r="F344" s="14"/>
      <c r="G344" s="64"/>
      <c r="H344" s="48" t="e">
        <f ca="1">VLOOKUP(A344,#REF!,1,0)</f>
        <v>#REF!</v>
      </c>
    </row>
    <row r="345" spans="1:8" ht="19.95" customHeight="1" x14ac:dyDescent="0.25">
      <c r="A345" s="6" t="str">
        <f t="shared" ca="1" si="8"/>
        <v>202508</v>
      </c>
      <c r="B345" s="36"/>
      <c r="C345" s="3"/>
      <c r="D345" s="19"/>
      <c r="E345" s="3"/>
      <c r="F345" s="14"/>
      <c r="G345" s="56"/>
      <c r="H345" s="48" t="e">
        <f ca="1">VLOOKUP(A345,#REF!,1,0)</f>
        <v>#REF!</v>
      </c>
    </row>
    <row r="346" spans="1:8" ht="19.95" customHeight="1" x14ac:dyDescent="0.25">
      <c r="A346" s="6" t="str">
        <f t="shared" ca="1" si="8"/>
        <v>202508</v>
      </c>
      <c r="B346" s="36"/>
      <c r="C346" s="3"/>
      <c r="D346" s="19"/>
      <c r="E346" s="3"/>
      <c r="F346" s="14"/>
      <c r="G346" s="56"/>
      <c r="H346" s="48" t="e">
        <f ca="1">VLOOKUP(A346,#REF!,1,0)</f>
        <v>#REF!</v>
      </c>
    </row>
    <row r="347" spans="1:8" ht="19.95" customHeight="1" x14ac:dyDescent="0.25">
      <c r="A347" s="6" t="str">
        <f t="shared" ca="1" si="8"/>
        <v>202508</v>
      </c>
      <c r="B347" s="36"/>
      <c r="C347" s="3"/>
      <c r="D347" s="19"/>
      <c r="E347" s="3"/>
      <c r="F347" s="14"/>
      <c r="G347" s="56"/>
      <c r="H347" s="48" t="e">
        <f ca="1">VLOOKUP(A347,#REF!,1,0)</f>
        <v>#REF!</v>
      </c>
    </row>
    <row r="348" spans="1:8" ht="19.95" customHeight="1" x14ac:dyDescent="0.25">
      <c r="A348" s="6" t="str">
        <f t="shared" ca="1" si="8"/>
        <v>202508</v>
      </c>
      <c r="B348" s="36"/>
      <c r="C348" s="3"/>
      <c r="D348" s="19"/>
      <c r="E348" s="3"/>
      <c r="F348" s="44"/>
      <c r="G348" s="56"/>
      <c r="H348" s="48" t="e">
        <f ca="1">VLOOKUP(A348,#REF!,1,0)</f>
        <v>#REF!</v>
      </c>
    </row>
    <row r="349" spans="1:8" ht="19.95" customHeight="1" x14ac:dyDescent="0.25">
      <c r="A349" s="6" t="str">
        <f t="shared" ca="1" si="8"/>
        <v>202508</v>
      </c>
      <c r="B349" s="36"/>
      <c r="C349" s="3"/>
      <c r="D349" s="19"/>
      <c r="E349" s="3"/>
      <c r="F349" s="14"/>
      <c r="G349" s="64"/>
      <c r="H349" s="48" t="e">
        <f ca="1">VLOOKUP(A349,#REF!,1,0)</f>
        <v>#REF!</v>
      </c>
    </row>
    <row r="350" spans="1:8" ht="19.95" customHeight="1" x14ac:dyDescent="0.25">
      <c r="A350" s="6" t="str">
        <f t="shared" ca="1" si="8"/>
        <v>202508</v>
      </c>
      <c r="B350" s="36"/>
      <c r="C350" s="3"/>
      <c r="D350" s="19"/>
      <c r="E350" s="3"/>
      <c r="F350" s="14"/>
      <c r="G350" s="56"/>
      <c r="H350" s="48" t="e">
        <f ca="1">VLOOKUP(A350,#REF!,1,0)</f>
        <v>#REF!</v>
      </c>
    </row>
    <row r="351" spans="1:8" ht="19.95" customHeight="1" x14ac:dyDescent="0.25">
      <c r="A351" s="6" t="str">
        <f t="shared" ca="1" si="8"/>
        <v>202508</v>
      </c>
      <c r="B351" s="36"/>
      <c r="C351" s="3"/>
      <c r="D351" s="19"/>
      <c r="E351" s="3"/>
      <c r="F351" s="14"/>
      <c r="G351" s="64"/>
      <c r="H351" s="48" t="e">
        <f ca="1">VLOOKUP(A351,#REF!,1,0)</f>
        <v>#REF!</v>
      </c>
    </row>
    <row r="352" spans="1:8" ht="19.95" customHeight="1" x14ac:dyDescent="0.25">
      <c r="A352" s="6" t="str">
        <f t="shared" ca="1" si="8"/>
        <v>202508</v>
      </c>
      <c r="B352" s="36"/>
      <c r="C352" s="3"/>
      <c r="D352" s="19"/>
      <c r="E352" s="3"/>
      <c r="F352" s="14"/>
      <c r="G352" s="56"/>
      <c r="H352" s="48" t="e">
        <f ca="1">VLOOKUP(A352,#REF!,1,0)</f>
        <v>#REF!</v>
      </c>
    </row>
    <row r="353" spans="1:8" ht="19.95" customHeight="1" x14ac:dyDescent="0.25">
      <c r="A353" s="6" t="str">
        <f t="shared" ca="1" si="8"/>
        <v>202508</v>
      </c>
      <c r="B353" s="36"/>
      <c r="C353" s="3"/>
      <c r="D353" s="19"/>
      <c r="E353" s="3"/>
      <c r="F353" s="14"/>
      <c r="G353" s="64"/>
      <c r="H353" s="48" t="e">
        <f ca="1">VLOOKUP(A353,#REF!,1,0)</f>
        <v>#REF!</v>
      </c>
    </row>
    <row r="354" spans="1:8" ht="19.95" customHeight="1" x14ac:dyDescent="0.25">
      <c r="A354" s="6" t="str">
        <f t="shared" ca="1" si="8"/>
        <v>202508</v>
      </c>
      <c r="B354" s="36"/>
      <c r="C354" s="3"/>
      <c r="D354" s="19"/>
      <c r="E354" s="3"/>
      <c r="F354" s="14"/>
      <c r="G354" s="56"/>
      <c r="H354" s="48" t="e">
        <f ca="1">VLOOKUP(A354,#REF!,1,0)</f>
        <v>#REF!</v>
      </c>
    </row>
    <row r="355" spans="1:8" ht="19.95" customHeight="1" x14ac:dyDescent="0.25">
      <c r="A355" s="6" t="str">
        <f t="shared" ca="1" si="8"/>
        <v>202508</v>
      </c>
      <c r="B355" s="36"/>
      <c r="C355" s="3"/>
      <c r="D355" s="19"/>
      <c r="E355" s="3"/>
      <c r="F355" s="14"/>
      <c r="G355" s="56"/>
      <c r="H355" s="48" t="e">
        <f ca="1">VLOOKUP(A355,#REF!,1,0)</f>
        <v>#REF!</v>
      </c>
    </row>
    <row r="356" spans="1:8" ht="19.95" customHeight="1" x14ac:dyDescent="0.25">
      <c r="A356" s="6" t="str">
        <f t="shared" ca="1" si="8"/>
        <v>202508</v>
      </c>
      <c r="B356" s="36"/>
      <c r="C356" s="3"/>
      <c r="D356" s="19"/>
      <c r="E356" s="3"/>
      <c r="F356" s="14"/>
      <c r="G356" s="64"/>
      <c r="H356" s="48" t="e">
        <f ca="1">VLOOKUP(A356,#REF!,1,0)</f>
        <v>#REF!</v>
      </c>
    </row>
    <row r="357" spans="1:8" ht="19.95" customHeight="1" x14ac:dyDescent="0.25">
      <c r="A357" s="6" t="str">
        <f t="shared" ca="1" si="8"/>
        <v>202508</v>
      </c>
      <c r="B357" s="36"/>
      <c r="C357" s="3"/>
      <c r="D357" s="19"/>
      <c r="E357" s="3"/>
      <c r="F357" s="14"/>
      <c r="G357" s="64"/>
      <c r="H357" s="48" t="e">
        <f ca="1">VLOOKUP(A357,#REF!,1,0)</f>
        <v>#REF!</v>
      </c>
    </row>
    <row r="358" spans="1:8" ht="19.95" customHeight="1" x14ac:dyDescent="0.25">
      <c r="A358" s="6" t="str">
        <f t="shared" ca="1" si="8"/>
        <v>202508</v>
      </c>
      <c r="B358" s="36"/>
      <c r="C358" s="3"/>
      <c r="D358" s="19"/>
      <c r="E358" s="3"/>
      <c r="F358" s="14"/>
      <c r="G358" s="56"/>
      <c r="H358" s="48" t="e">
        <f ca="1">VLOOKUP(A358,#REF!,1,0)</f>
        <v>#REF!</v>
      </c>
    </row>
    <row r="359" spans="1:8" ht="19.95" customHeight="1" x14ac:dyDescent="0.25">
      <c r="A359" s="6" t="str">
        <f t="shared" ca="1" si="8"/>
        <v>202508</v>
      </c>
      <c r="B359" s="36"/>
      <c r="C359" s="3"/>
      <c r="D359" s="19"/>
      <c r="E359" s="3"/>
      <c r="F359" s="14"/>
      <c r="G359" s="64"/>
      <c r="H359" s="48" t="e">
        <f ca="1">VLOOKUP(A359,#REF!,1,0)</f>
        <v>#REF!</v>
      </c>
    </row>
    <row r="360" spans="1:8" ht="19.95" customHeight="1" x14ac:dyDescent="0.25">
      <c r="A360" s="6" t="str">
        <f t="shared" ca="1" si="8"/>
        <v>202508</v>
      </c>
      <c r="B360" s="36"/>
      <c r="C360" s="3"/>
      <c r="D360" s="19"/>
      <c r="E360" s="45"/>
      <c r="F360" s="14"/>
      <c r="G360" s="56"/>
      <c r="H360" s="48" t="e">
        <f ca="1">VLOOKUP(A360,#REF!,1,0)</f>
        <v>#REF!</v>
      </c>
    </row>
    <row r="361" spans="1:8" ht="19.95" customHeight="1" x14ac:dyDescent="0.25">
      <c r="A361" s="6" t="str">
        <f t="shared" ca="1" si="8"/>
        <v>202508</v>
      </c>
      <c r="B361" s="36"/>
      <c r="C361" s="3"/>
      <c r="D361" s="19"/>
      <c r="E361" s="3"/>
      <c r="F361" s="14"/>
      <c r="G361" s="56"/>
      <c r="H361" s="48" t="e">
        <f ca="1">VLOOKUP(A361,#REF!,1,0)</f>
        <v>#REF!</v>
      </c>
    </row>
    <row r="362" spans="1:8" ht="19.95" customHeight="1" x14ac:dyDescent="0.25">
      <c r="A362" s="6" t="str">
        <f t="shared" ca="1" si="8"/>
        <v>202508</v>
      </c>
      <c r="B362" s="36"/>
      <c r="C362" s="3"/>
      <c r="D362" s="19"/>
      <c r="E362" s="3"/>
      <c r="F362" s="14"/>
      <c r="G362" s="64"/>
      <c r="H362" s="48" t="e">
        <f ca="1">VLOOKUP(A362,#REF!,1,0)</f>
        <v>#REF!</v>
      </c>
    </row>
    <row r="363" spans="1:8" ht="19.95" customHeight="1" x14ac:dyDescent="0.25">
      <c r="A363" s="6" t="str">
        <f t="shared" ca="1" si="8"/>
        <v>202508</v>
      </c>
      <c r="B363" s="36"/>
      <c r="C363" s="3"/>
      <c r="D363" s="19"/>
      <c r="E363" s="3"/>
      <c r="F363" s="14"/>
      <c r="G363" s="64"/>
      <c r="H363" s="48" t="e">
        <f ca="1">VLOOKUP(A363,#REF!,1,0)</f>
        <v>#REF!</v>
      </c>
    </row>
    <row r="364" spans="1:8" ht="19.95" customHeight="1" x14ac:dyDescent="0.25">
      <c r="A364" s="6" t="str">
        <f t="shared" ca="1" si="8"/>
        <v>202508</v>
      </c>
      <c r="B364" s="36"/>
      <c r="C364" s="3"/>
      <c r="D364" s="19"/>
      <c r="E364" s="3"/>
      <c r="F364" s="14"/>
      <c r="G364" s="56"/>
      <c r="H364" s="48" t="e">
        <f ca="1">VLOOKUP(A364,#REF!,1,0)</f>
        <v>#REF!</v>
      </c>
    </row>
    <row r="365" spans="1:8" ht="19.95" customHeight="1" x14ac:dyDescent="0.25">
      <c r="A365" s="6" t="str">
        <f t="shared" ca="1" si="8"/>
        <v>202508</v>
      </c>
      <c r="B365" s="36"/>
      <c r="C365" s="3"/>
      <c r="D365" s="19"/>
      <c r="E365" s="3"/>
      <c r="F365" s="14"/>
      <c r="G365" s="64"/>
      <c r="H365" s="48" t="e">
        <f ca="1">VLOOKUP(A365,#REF!,1,0)</f>
        <v>#REF!</v>
      </c>
    </row>
    <row r="366" spans="1:8" ht="19.95" customHeight="1" x14ac:dyDescent="0.25">
      <c r="A366" s="6" t="str">
        <f t="shared" ca="1" si="8"/>
        <v>202508</v>
      </c>
      <c r="B366" s="36"/>
      <c r="C366" s="3"/>
      <c r="D366" s="19"/>
      <c r="E366" s="45"/>
      <c r="F366" s="44"/>
      <c r="G366" s="56"/>
      <c r="H366" s="48" t="e">
        <f ca="1">VLOOKUP(A366,#REF!,1,0)</f>
        <v>#REF!</v>
      </c>
    </row>
    <row r="367" spans="1:8" ht="19.95" customHeight="1" x14ac:dyDescent="0.25">
      <c r="A367" s="6" t="str">
        <f t="shared" ca="1" si="8"/>
        <v>202508</v>
      </c>
      <c r="B367" s="36"/>
      <c r="C367" s="3"/>
      <c r="D367" s="19"/>
      <c r="E367" s="3"/>
      <c r="F367" s="14"/>
      <c r="G367" s="64"/>
      <c r="H367" s="48" t="e">
        <f ca="1">VLOOKUP(A367,#REF!,1,0)</f>
        <v>#REF!</v>
      </c>
    </row>
    <row r="368" spans="1:8" ht="19.95" customHeight="1" x14ac:dyDescent="0.25">
      <c r="A368" s="6" t="str">
        <f t="shared" ca="1" si="8"/>
        <v>202508</v>
      </c>
      <c r="B368" s="36"/>
      <c r="C368" s="3"/>
      <c r="D368" s="19"/>
      <c r="E368" s="3"/>
      <c r="F368" s="14"/>
      <c r="G368" s="64"/>
      <c r="H368" s="48" t="e">
        <f ca="1">VLOOKUP(A368,#REF!,1,0)</f>
        <v>#REF!</v>
      </c>
    </row>
    <row r="369" spans="1:8" ht="19.95" customHeight="1" x14ac:dyDescent="0.25">
      <c r="A369" s="6" t="str">
        <f t="shared" ca="1" si="8"/>
        <v>202508</v>
      </c>
      <c r="B369" s="36"/>
      <c r="C369" s="3"/>
      <c r="D369" s="19"/>
      <c r="E369" s="3"/>
      <c r="F369" s="14"/>
      <c r="G369" s="56"/>
      <c r="H369" s="48" t="e">
        <f ca="1">VLOOKUP(A369,#REF!,1,0)</f>
        <v>#REF!</v>
      </c>
    </row>
    <row r="370" spans="1:8" ht="19.95" customHeight="1" x14ac:dyDescent="0.25">
      <c r="A370" s="6" t="str">
        <f t="shared" ca="1" si="8"/>
        <v>202508</v>
      </c>
      <c r="B370" s="36"/>
      <c r="C370" s="3"/>
      <c r="D370" s="19"/>
      <c r="E370" s="3"/>
      <c r="F370" s="14"/>
      <c r="G370" s="64"/>
      <c r="H370" s="48" t="e">
        <f ca="1">VLOOKUP(A370,#REF!,1,0)</f>
        <v>#REF!</v>
      </c>
    </row>
    <row r="371" spans="1:8" ht="19.95" customHeight="1" x14ac:dyDescent="0.25">
      <c r="A371" s="6" t="str">
        <f t="shared" ca="1" si="8"/>
        <v>202508</v>
      </c>
      <c r="B371" s="36"/>
      <c r="C371" s="3"/>
      <c r="D371" s="19"/>
      <c r="E371" s="3"/>
      <c r="F371" s="14"/>
      <c r="G371" s="56"/>
      <c r="H371" s="48" t="e">
        <f ca="1">VLOOKUP(A371,#REF!,1,0)</f>
        <v>#REF!</v>
      </c>
    </row>
    <row r="372" spans="1:8" ht="19.95" customHeight="1" x14ac:dyDescent="0.25">
      <c r="A372" s="6" t="str">
        <f t="shared" ca="1" si="8"/>
        <v>202508</v>
      </c>
      <c r="B372" s="36"/>
      <c r="C372" s="3"/>
      <c r="D372" s="19"/>
      <c r="E372" s="3"/>
      <c r="F372" s="14"/>
      <c r="G372" s="64"/>
      <c r="H372" s="48" t="e">
        <f ca="1">VLOOKUP(A372,#REF!,1,0)</f>
        <v>#REF!</v>
      </c>
    </row>
    <row r="373" spans="1:8" ht="19.95" customHeight="1" x14ac:dyDescent="0.25">
      <c r="A373" s="6" t="str">
        <f t="shared" ca="1" si="8"/>
        <v>202508</v>
      </c>
      <c r="B373" s="36"/>
      <c r="C373" s="3"/>
      <c r="D373" s="19"/>
      <c r="E373" s="3"/>
      <c r="F373" s="14"/>
      <c r="G373" s="56"/>
      <c r="H373" s="48" t="e">
        <f ca="1">VLOOKUP(A373,#REF!,1,0)</f>
        <v>#REF!</v>
      </c>
    </row>
    <row r="374" spans="1:8" ht="19.95" customHeight="1" x14ac:dyDescent="0.25">
      <c r="A374" s="6" t="str">
        <f t="shared" ca="1" si="8"/>
        <v>202508</v>
      </c>
      <c r="B374" s="36"/>
      <c r="C374" s="3"/>
      <c r="D374" s="19"/>
      <c r="E374" s="3"/>
      <c r="F374" s="14"/>
      <c r="G374" s="56"/>
      <c r="H374" s="48" t="e">
        <f ca="1">VLOOKUP(A374,#REF!,1,0)</f>
        <v>#REF!</v>
      </c>
    </row>
    <row r="375" spans="1:8" ht="19.95" customHeight="1" x14ac:dyDescent="0.25">
      <c r="A375" s="6" t="str">
        <f t="shared" ca="1" si="8"/>
        <v>202508</v>
      </c>
      <c r="B375" s="36"/>
      <c r="C375" s="3"/>
      <c r="D375" s="19"/>
      <c r="E375" s="3"/>
      <c r="F375" s="14"/>
      <c r="G375" s="64"/>
      <c r="H375" s="48" t="e">
        <f ca="1">VLOOKUP(A375,#REF!,1,0)</f>
        <v>#REF!</v>
      </c>
    </row>
    <row r="376" spans="1:8" ht="19.95" customHeight="1" x14ac:dyDescent="0.25">
      <c r="A376" s="6" t="str">
        <f t="shared" ca="1" si="8"/>
        <v>202508</v>
      </c>
      <c r="B376" s="36"/>
      <c r="C376" s="3"/>
      <c r="D376" s="19"/>
      <c r="E376" s="45"/>
      <c r="F376" s="14"/>
      <c r="G376" s="56"/>
      <c r="H376" s="48" t="e">
        <f ca="1">VLOOKUP(A376,#REF!,1,0)</f>
        <v>#REF!</v>
      </c>
    </row>
    <row r="377" spans="1:8" ht="19.95" customHeight="1" x14ac:dyDescent="0.25">
      <c r="A377" s="6" t="str">
        <f t="shared" ca="1" si="8"/>
        <v>202508</v>
      </c>
      <c r="B377" s="36"/>
      <c r="C377" s="3"/>
      <c r="D377" s="19"/>
      <c r="E377" s="3"/>
      <c r="F377" s="14"/>
      <c r="G377" s="56"/>
      <c r="H377" s="48" t="e">
        <f ca="1">VLOOKUP(A377,#REF!,1,0)</f>
        <v>#REF!</v>
      </c>
    </row>
    <row r="378" spans="1:8" ht="19.95" customHeight="1" x14ac:dyDescent="0.25">
      <c r="A378" s="6" t="str">
        <f t="shared" ca="1" si="8"/>
        <v>202508</v>
      </c>
      <c r="B378" s="36"/>
      <c r="C378" s="3"/>
      <c r="D378" s="19"/>
      <c r="E378" s="3"/>
      <c r="F378" s="14"/>
      <c r="G378" s="56"/>
      <c r="H378" s="48" t="e">
        <f ca="1">VLOOKUP(A378,#REF!,1,0)</f>
        <v>#REF!</v>
      </c>
    </row>
    <row r="379" spans="1:8" ht="19.95" customHeight="1" x14ac:dyDescent="0.25">
      <c r="A379" s="6" t="str">
        <f t="shared" ca="1" si="8"/>
        <v>202508</v>
      </c>
      <c r="B379" s="36"/>
      <c r="C379" s="3"/>
      <c r="D379" s="19"/>
      <c r="E379" s="3"/>
      <c r="F379" s="14"/>
      <c r="G379" s="64"/>
      <c r="H379" s="48" t="e">
        <f ca="1">VLOOKUP(A379,#REF!,1,0)</f>
        <v>#REF!</v>
      </c>
    </row>
    <row r="380" spans="1:8" ht="19.95" customHeight="1" x14ac:dyDescent="0.25">
      <c r="A380" s="6" t="str">
        <f t="shared" ca="1" si="8"/>
        <v>202508</v>
      </c>
      <c r="B380" s="36"/>
      <c r="C380" s="3"/>
      <c r="D380" s="19"/>
      <c r="E380" s="3"/>
      <c r="F380" s="14"/>
      <c r="G380" s="64"/>
      <c r="H380" s="48" t="e">
        <f ca="1">VLOOKUP(A380,#REF!,1,0)</f>
        <v>#REF!</v>
      </c>
    </row>
    <row r="381" spans="1:8" ht="19.95" customHeight="1" x14ac:dyDescent="0.25">
      <c r="A381" s="6" t="str">
        <f t="shared" ca="1" si="8"/>
        <v>202508</v>
      </c>
      <c r="B381" s="36"/>
      <c r="C381" s="3"/>
      <c r="D381" s="19"/>
      <c r="E381" s="3"/>
      <c r="F381" s="14"/>
      <c r="G381" s="56"/>
      <c r="H381" s="48" t="e">
        <f ca="1">VLOOKUP(A381,#REF!,1,0)</f>
        <v>#REF!</v>
      </c>
    </row>
    <row r="382" spans="1:8" ht="19.95" customHeight="1" x14ac:dyDescent="0.25">
      <c r="A382" s="6" t="str">
        <f t="shared" ca="1" si="8"/>
        <v>202508</v>
      </c>
      <c r="B382" s="36"/>
      <c r="C382" s="3"/>
      <c r="D382" s="19"/>
      <c r="E382" s="45"/>
      <c r="F382" s="44"/>
      <c r="G382" s="56"/>
      <c r="H382" s="48" t="e">
        <f ca="1">VLOOKUP(A382,#REF!,1,0)</f>
        <v>#REF!</v>
      </c>
    </row>
    <row r="383" spans="1:8" ht="19.95" customHeight="1" x14ac:dyDescent="0.25">
      <c r="A383" s="6" t="str">
        <f t="shared" ca="1" si="8"/>
        <v>202508</v>
      </c>
      <c r="B383" s="36"/>
      <c r="C383" s="3"/>
      <c r="D383" s="19"/>
      <c r="E383" s="45"/>
      <c r="F383" s="44"/>
      <c r="G383" s="56"/>
      <c r="H383" s="48" t="e">
        <f ca="1">VLOOKUP(A383,#REF!,1,0)</f>
        <v>#REF!</v>
      </c>
    </row>
    <row r="384" spans="1:8" ht="19.95" customHeight="1" x14ac:dyDescent="0.25">
      <c r="A384" s="6" t="str">
        <f t="shared" ca="1" si="8"/>
        <v>202508</v>
      </c>
      <c r="B384" s="36"/>
      <c r="C384" s="3"/>
      <c r="D384" s="19"/>
      <c r="E384" s="3"/>
      <c r="F384" s="14"/>
      <c r="G384" s="56"/>
      <c r="H384" s="48" t="e">
        <f ca="1">VLOOKUP(A384,#REF!,1,0)</f>
        <v>#REF!</v>
      </c>
    </row>
    <row r="385" spans="1:8" ht="19.95" customHeight="1" x14ac:dyDescent="0.25">
      <c r="A385" s="6" t="str">
        <f t="shared" ca="1" si="8"/>
        <v>202508</v>
      </c>
      <c r="B385" s="36"/>
      <c r="C385" s="3"/>
      <c r="D385" s="19"/>
      <c r="E385" s="3"/>
      <c r="F385" s="14"/>
      <c r="G385" s="64"/>
      <c r="H385" s="48" t="e">
        <f ca="1">VLOOKUP(A385,#REF!,1,0)</f>
        <v>#REF!</v>
      </c>
    </row>
    <row r="386" spans="1:8" ht="19.95" customHeight="1" x14ac:dyDescent="0.25">
      <c r="A386" s="6" t="str">
        <f t="shared" ca="1" si="8"/>
        <v>202508</v>
      </c>
      <c r="B386" s="36"/>
      <c r="C386" s="3"/>
      <c r="D386" s="19"/>
      <c r="E386" s="3"/>
      <c r="F386" s="14"/>
      <c r="G386" s="56"/>
      <c r="H386" s="48" t="e">
        <f ca="1">VLOOKUP(A386,#REF!,1,0)</f>
        <v>#REF!</v>
      </c>
    </row>
    <row r="387" spans="1:8" ht="19.95" customHeight="1" x14ac:dyDescent="0.25">
      <c r="A387" s="6" t="str">
        <f t="shared" ca="1" si="8"/>
        <v>202508</v>
      </c>
      <c r="B387" s="36"/>
      <c r="C387" s="3"/>
      <c r="D387" s="19"/>
      <c r="E387" s="45"/>
      <c r="F387" s="44"/>
      <c r="G387" s="56"/>
      <c r="H387" s="48" t="e">
        <f ca="1">VLOOKUP(A387,#REF!,1,0)</f>
        <v>#REF!</v>
      </c>
    </row>
    <row r="388" spans="1:8" ht="19.95" customHeight="1" x14ac:dyDescent="0.25">
      <c r="A388" s="6" t="str">
        <f t="shared" ca="1" si="8"/>
        <v>202508</v>
      </c>
      <c r="B388" s="36"/>
      <c r="C388" s="3"/>
      <c r="D388" s="19"/>
      <c r="E388" s="3"/>
      <c r="F388" s="14"/>
      <c r="G388" s="56"/>
      <c r="H388" s="48" t="e">
        <f ca="1">VLOOKUP(A388,#REF!,1,0)</f>
        <v>#REF!</v>
      </c>
    </row>
    <row r="389" spans="1:8" ht="19.95" customHeight="1" x14ac:dyDescent="0.25">
      <c r="A389" s="6" t="str">
        <f t="shared" ca="1" si="8"/>
        <v>202508</v>
      </c>
      <c r="B389" s="38"/>
      <c r="C389" s="3"/>
      <c r="D389" s="19"/>
      <c r="E389" s="3"/>
      <c r="F389" s="14"/>
      <c r="G389" s="56"/>
      <c r="H389" s="48" t="e">
        <f ca="1">VLOOKUP(A389,#REF!,1,0)</f>
        <v>#REF!</v>
      </c>
    </row>
    <row r="390" spans="1:8" ht="19.95" customHeight="1" x14ac:dyDescent="0.25">
      <c r="A390" s="6" t="str">
        <f t="shared" ca="1" si="8"/>
        <v>202508</v>
      </c>
      <c r="B390" s="36"/>
      <c r="C390" s="3"/>
      <c r="D390" s="19"/>
      <c r="E390" s="3"/>
      <c r="F390" s="14"/>
      <c r="G390" s="56"/>
      <c r="H390" s="48" t="e">
        <f ca="1">VLOOKUP(A390,#REF!,1,0)</f>
        <v>#REF!</v>
      </c>
    </row>
    <row r="391" spans="1:8" ht="19.95" customHeight="1" x14ac:dyDescent="0.25">
      <c r="A391" s="6" t="str">
        <f t="shared" ca="1" si="8"/>
        <v>202508</v>
      </c>
      <c r="B391" s="36"/>
      <c r="C391" s="3"/>
      <c r="D391" s="19"/>
      <c r="E391" s="3"/>
      <c r="F391" s="14"/>
      <c r="G391" s="64"/>
      <c r="H391" s="48" t="e">
        <f ca="1">VLOOKUP(A391,#REF!,1,0)</f>
        <v>#REF!</v>
      </c>
    </row>
    <row r="392" spans="1:8" ht="19.95" customHeight="1" x14ac:dyDescent="0.25">
      <c r="A392" s="6" t="str">
        <f t="shared" ca="1" si="8"/>
        <v>202508</v>
      </c>
      <c r="B392" s="36"/>
      <c r="C392" s="3"/>
      <c r="D392" s="19"/>
      <c r="E392" s="3"/>
      <c r="F392" s="14"/>
      <c r="G392" s="64"/>
      <c r="H392" s="48" t="e">
        <f ca="1">VLOOKUP(A392,#REF!,1,0)</f>
        <v>#REF!</v>
      </c>
    </row>
    <row r="393" spans="1:8" ht="19.95" customHeight="1" x14ac:dyDescent="0.25">
      <c r="A393" s="6" t="str">
        <f t="shared" ref="A393:A456" ca="1" si="9" xml:space="preserve"> $A$5&amp;$A$6&amp;SUBSTITUTE(C393,".pdf","")</f>
        <v>202508</v>
      </c>
      <c r="B393" s="36"/>
      <c r="C393" s="3"/>
      <c r="D393" s="19"/>
      <c r="E393" s="3"/>
      <c r="F393" s="14"/>
      <c r="G393" s="64"/>
      <c r="H393" s="48" t="e">
        <f ca="1">VLOOKUP(A393,#REF!,1,0)</f>
        <v>#REF!</v>
      </c>
    </row>
    <row r="394" spans="1:8" ht="19.95" customHeight="1" x14ac:dyDescent="0.25">
      <c r="A394" s="6" t="str">
        <f t="shared" ca="1" si="9"/>
        <v>202508</v>
      </c>
      <c r="B394" s="36"/>
      <c r="C394" s="3"/>
      <c r="D394" s="19"/>
      <c r="E394" s="3"/>
      <c r="F394" s="14"/>
      <c r="G394" s="56"/>
      <c r="H394" s="48" t="e">
        <f ca="1">VLOOKUP(A394,#REF!,1,0)</f>
        <v>#REF!</v>
      </c>
    </row>
    <row r="395" spans="1:8" ht="19.95" customHeight="1" x14ac:dyDescent="0.25">
      <c r="A395" s="6" t="str">
        <f t="shared" ca="1" si="9"/>
        <v>202508</v>
      </c>
      <c r="B395" s="36"/>
      <c r="C395" s="3"/>
      <c r="D395" s="19"/>
      <c r="E395" s="3"/>
      <c r="F395" s="14"/>
      <c r="G395" s="56"/>
      <c r="H395" s="48" t="e">
        <f ca="1">VLOOKUP(A395,#REF!,1,0)</f>
        <v>#REF!</v>
      </c>
    </row>
    <row r="396" spans="1:8" ht="19.95" customHeight="1" x14ac:dyDescent="0.25">
      <c r="A396" s="6" t="str">
        <f t="shared" ca="1" si="9"/>
        <v>202508</v>
      </c>
      <c r="B396" s="36"/>
      <c r="C396" s="3"/>
      <c r="D396" s="19"/>
      <c r="E396" s="3"/>
      <c r="F396" s="14"/>
      <c r="G396" s="56"/>
      <c r="H396" s="48" t="e">
        <f ca="1">VLOOKUP(A396,#REF!,1,0)</f>
        <v>#REF!</v>
      </c>
    </row>
    <row r="397" spans="1:8" ht="19.95" customHeight="1" x14ac:dyDescent="0.25">
      <c r="A397" s="6" t="str">
        <f t="shared" ca="1" si="9"/>
        <v>202508</v>
      </c>
      <c r="B397" s="36"/>
      <c r="C397" s="3"/>
      <c r="D397" s="19"/>
      <c r="E397" s="3"/>
      <c r="F397" s="14"/>
      <c r="G397" s="56"/>
      <c r="H397" s="48" t="e">
        <f ca="1">VLOOKUP(A397,#REF!,1,0)</f>
        <v>#REF!</v>
      </c>
    </row>
    <row r="398" spans="1:8" ht="19.95" customHeight="1" x14ac:dyDescent="0.25">
      <c r="A398" s="6" t="str">
        <f t="shared" ca="1" si="9"/>
        <v>202508</v>
      </c>
      <c r="B398" s="36"/>
      <c r="C398" s="3"/>
      <c r="D398" s="19"/>
      <c r="E398" s="3"/>
      <c r="F398" s="14"/>
      <c r="G398" s="56"/>
      <c r="H398" s="48" t="e">
        <f ca="1">VLOOKUP(A398,#REF!,1,0)</f>
        <v>#REF!</v>
      </c>
    </row>
    <row r="399" spans="1:8" ht="19.95" customHeight="1" x14ac:dyDescent="0.25">
      <c r="A399" s="6" t="str">
        <f t="shared" ca="1" si="9"/>
        <v>202508</v>
      </c>
      <c r="B399" s="36"/>
      <c r="C399" s="3"/>
      <c r="D399" s="19"/>
      <c r="E399" s="3"/>
      <c r="F399" s="14"/>
      <c r="G399" s="64"/>
      <c r="H399" s="48" t="e">
        <f ca="1">VLOOKUP(A399,#REF!,1,0)</f>
        <v>#REF!</v>
      </c>
    </row>
    <row r="400" spans="1:8" ht="19.95" customHeight="1" x14ac:dyDescent="0.25">
      <c r="A400" s="6" t="str">
        <f t="shared" ca="1" si="9"/>
        <v>202508</v>
      </c>
      <c r="B400" s="36"/>
      <c r="C400" s="3"/>
      <c r="D400" s="19"/>
      <c r="E400" s="3"/>
      <c r="F400" s="14"/>
      <c r="G400" s="56"/>
      <c r="H400" s="48" t="e">
        <f ca="1">VLOOKUP(A400,#REF!,1,0)</f>
        <v>#REF!</v>
      </c>
    </row>
    <row r="401" spans="1:8" ht="19.95" customHeight="1" x14ac:dyDescent="0.25">
      <c r="A401" s="6" t="str">
        <f t="shared" ca="1" si="9"/>
        <v>202508</v>
      </c>
      <c r="B401" s="36"/>
      <c r="C401" s="3"/>
      <c r="D401" s="19"/>
      <c r="E401" s="3"/>
      <c r="F401" s="14"/>
      <c r="G401" s="64"/>
      <c r="H401" s="48" t="e">
        <f ca="1">VLOOKUP(A401,#REF!,1,0)</f>
        <v>#REF!</v>
      </c>
    </row>
    <row r="402" spans="1:8" ht="19.95" customHeight="1" x14ac:dyDescent="0.25">
      <c r="A402" s="6" t="str">
        <f t="shared" ca="1" si="9"/>
        <v>202508</v>
      </c>
      <c r="B402" s="36"/>
      <c r="C402" s="3"/>
      <c r="D402" s="19"/>
      <c r="E402" s="3"/>
      <c r="F402" s="14"/>
      <c r="G402" s="56"/>
      <c r="H402" s="48" t="e">
        <f ca="1">VLOOKUP(A402,#REF!,1,0)</f>
        <v>#REF!</v>
      </c>
    </row>
    <row r="403" spans="1:8" ht="19.95" customHeight="1" x14ac:dyDescent="0.25">
      <c r="A403" s="6" t="str">
        <f t="shared" ca="1" si="9"/>
        <v>202508</v>
      </c>
      <c r="B403" s="36"/>
      <c r="C403" s="3"/>
      <c r="D403" s="19"/>
      <c r="E403" s="45"/>
      <c r="F403" s="44"/>
      <c r="G403" s="56"/>
      <c r="H403" s="48" t="e">
        <f ca="1">VLOOKUP(A403,#REF!,1,0)</f>
        <v>#REF!</v>
      </c>
    </row>
    <row r="404" spans="1:8" ht="19.95" customHeight="1" x14ac:dyDescent="0.25">
      <c r="A404" s="6" t="str">
        <f t="shared" ca="1" si="9"/>
        <v>202508</v>
      </c>
      <c r="B404" s="36"/>
      <c r="C404" s="3"/>
      <c r="D404" s="19"/>
      <c r="E404" s="3"/>
      <c r="F404" s="14"/>
      <c r="G404" s="64"/>
      <c r="H404" s="48" t="e">
        <f ca="1">VLOOKUP(A404,#REF!,1,0)</f>
        <v>#REF!</v>
      </c>
    </row>
    <row r="405" spans="1:8" ht="19.95" customHeight="1" x14ac:dyDescent="0.25">
      <c r="A405" s="6" t="str">
        <f t="shared" ca="1" si="9"/>
        <v>202508</v>
      </c>
      <c r="B405" s="38"/>
      <c r="C405" s="3"/>
      <c r="D405" s="19"/>
      <c r="E405" s="3"/>
      <c r="F405" s="14"/>
      <c r="G405" s="56"/>
      <c r="H405" s="48" t="e">
        <f ca="1">VLOOKUP(A405,#REF!,1,0)</f>
        <v>#REF!</v>
      </c>
    </row>
    <row r="406" spans="1:8" ht="19.95" customHeight="1" x14ac:dyDescent="0.25">
      <c r="A406" s="6" t="str">
        <f t="shared" ca="1" si="9"/>
        <v>202508</v>
      </c>
      <c r="B406" s="36"/>
      <c r="C406" s="3"/>
      <c r="D406" s="19"/>
      <c r="E406" s="3"/>
      <c r="F406" s="14"/>
      <c r="G406" s="56"/>
      <c r="H406" s="48" t="e">
        <f ca="1">VLOOKUP(A406,#REF!,1,0)</f>
        <v>#REF!</v>
      </c>
    </row>
    <row r="407" spans="1:8" ht="19.95" customHeight="1" x14ac:dyDescent="0.25">
      <c r="A407" s="6" t="str">
        <f t="shared" ca="1" si="9"/>
        <v>202508</v>
      </c>
      <c r="B407" s="36"/>
      <c r="C407" s="3"/>
      <c r="D407" s="19"/>
      <c r="E407" s="3"/>
      <c r="F407" s="14"/>
      <c r="G407" s="64"/>
      <c r="H407" s="48" t="e">
        <f ca="1">VLOOKUP(A407,#REF!,1,0)</f>
        <v>#REF!</v>
      </c>
    </row>
    <row r="408" spans="1:8" ht="19.95" customHeight="1" x14ac:dyDescent="0.25">
      <c r="A408" s="6" t="str">
        <f t="shared" ca="1" si="9"/>
        <v>202508</v>
      </c>
      <c r="B408" s="36"/>
      <c r="C408" s="3"/>
      <c r="D408" s="19"/>
      <c r="E408" s="3"/>
      <c r="F408" s="14"/>
      <c r="G408" s="56"/>
      <c r="H408" s="48" t="e">
        <f ca="1">VLOOKUP(A408,#REF!,1,0)</f>
        <v>#REF!</v>
      </c>
    </row>
    <row r="409" spans="1:8" ht="19.95" customHeight="1" x14ac:dyDescent="0.25">
      <c r="A409" s="6" t="str">
        <f t="shared" ca="1" si="9"/>
        <v>202508</v>
      </c>
      <c r="B409" s="36"/>
      <c r="C409" s="3"/>
      <c r="D409" s="19"/>
      <c r="E409" s="45"/>
      <c r="F409" s="44"/>
      <c r="G409" s="56"/>
      <c r="H409" s="48" t="e">
        <f ca="1">VLOOKUP(A409,#REF!,1,0)</f>
        <v>#REF!</v>
      </c>
    </row>
    <row r="410" spans="1:8" ht="19.95" customHeight="1" x14ac:dyDescent="0.25">
      <c r="A410" s="6" t="str">
        <f t="shared" ca="1" si="9"/>
        <v>202508</v>
      </c>
      <c r="B410" s="36"/>
      <c r="C410" s="3"/>
      <c r="D410" s="19"/>
      <c r="E410" s="3"/>
      <c r="F410" s="14"/>
      <c r="G410" s="64"/>
      <c r="H410" s="48" t="e">
        <f ca="1">VLOOKUP(A410,#REF!,1,0)</f>
        <v>#REF!</v>
      </c>
    </row>
    <row r="411" spans="1:8" ht="19.95" customHeight="1" x14ac:dyDescent="0.25">
      <c r="A411" s="6" t="str">
        <f t="shared" ca="1" si="9"/>
        <v>202508</v>
      </c>
      <c r="B411" s="36"/>
      <c r="C411" s="3"/>
      <c r="D411" s="19"/>
      <c r="E411" s="3"/>
      <c r="F411" s="14"/>
      <c r="G411" s="56"/>
      <c r="H411" s="48" t="e">
        <f ca="1">VLOOKUP(A411,#REF!,1,0)</f>
        <v>#REF!</v>
      </c>
    </row>
    <row r="412" spans="1:8" ht="19.95" customHeight="1" x14ac:dyDescent="0.25">
      <c r="A412" s="6" t="str">
        <f t="shared" ca="1" si="9"/>
        <v>202508</v>
      </c>
      <c r="B412" s="36"/>
      <c r="C412" s="3"/>
      <c r="D412" s="19"/>
      <c r="E412" s="3"/>
      <c r="F412" s="14"/>
      <c r="G412" s="56"/>
      <c r="H412" s="48" t="e">
        <f ca="1">VLOOKUP(A412,#REF!,1,0)</f>
        <v>#REF!</v>
      </c>
    </row>
    <row r="413" spans="1:8" ht="19.95" customHeight="1" x14ac:dyDescent="0.25">
      <c r="A413" s="6" t="str">
        <f t="shared" ca="1" si="9"/>
        <v>202508</v>
      </c>
      <c r="B413" s="36"/>
      <c r="C413" s="3"/>
      <c r="D413" s="19"/>
      <c r="E413" s="3"/>
      <c r="F413" s="14"/>
      <c r="G413" s="56"/>
      <c r="H413" s="48" t="e">
        <f ca="1">VLOOKUP(A413,#REF!,1,0)</f>
        <v>#REF!</v>
      </c>
    </row>
    <row r="414" spans="1:8" ht="19.95" customHeight="1" x14ac:dyDescent="0.25">
      <c r="A414" s="6" t="str">
        <f t="shared" ca="1" si="9"/>
        <v>202508</v>
      </c>
      <c r="B414" s="36"/>
      <c r="C414" s="3"/>
      <c r="D414" s="19"/>
      <c r="E414" s="3"/>
      <c r="F414" s="14"/>
      <c r="G414" s="64"/>
      <c r="H414" s="48" t="e">
        <f ca="1">VLOOKUP(A414,#REF!,1,0)</f>
        <v>#REF!</v>
      </c>
    </row>
    <row r="415" spans="1:8" ht="19.95" customHeight="1" x14ac:dyDescent="0.25">
      <c r="A415" s="6" t="str">
        <f t="shared" ca="1" si="9"/>
        <v>202508</v>
      </c>
      <c r="B415" s="36"/>
      <c r="C415" s="3"/>
      <c r="D415" s="19"/>
      <c r="E415" s="3"/>
      <c r="F415" s="14"/>
      <c r="G415" s="64"/>
      <c r="H415" s="48" t="e">
        <f ca="1">VLOOKUP(A415,#REF!,1,0)</f>
        <v>#REF!</v>
      </c>
    </row>
    <row r="416" spans="1:8" ht="19.95" customHeight="1" x14ac:dyDescent="0.25">
      <c r="A416" s="6" t="str">
        <f t="shared" ca="1" si="9"/>
        <v>202508</v>
      </c>
      <c r="B416" s="36"/>
      <c r="C416" s="3"/>
      <c r="D416" s="19"/>
      <c r="E416" s="3"/>
      <c r="F416" s="14"/>
      <c r="G416" s="56"/>
      <c r="H416" s="48" t="e">
        <f ca="1">VLOOKUP(A416,#REF!,1,0)</f>
        <v>#REF!</v>
      </c>
    </row>
    <row r="417" spans="1:8" ht="19.95" customHeight="1" x14ac:dyDescent="0.25">
      <c r="A417" s="6" t="str">
        <f t="shared" ca="1" si="9"/>
        <v>202508</v>
      </c>
      <c r="B417" s="36"/>
      <c r="C417" s="3"/>
      <c r="D417" s="19"/>
      <c r="E417" s="3"/>
      <c r="F417" s="14"/>
      <c r="G417" s="56"/>
      <c r="H417" s="48" t="e">
        <f ca="1">VLOOKUP(A417,#REF!,1,0)</f>
        <v>#REF!</v>
      </c>
    </row>
    <row r="418" spans="1:8" ht="19.95" customHeight="1" x14ac:dyDescent="0.25">
      <c r="A418" s="6" t="str">
        <f t="shared" ca="1" si="9"/>
        <v>202508</v>
      </c>
      <c r="B418" s="36"/>
      <c r="C418" s="3"/>
      <c r="D418" s="19"/>
      <c r="E418" s="3"/>
      <c r="F418" s="14"/>
      <c r="G418" s="64"/>
      <c r="H418" s="48" t="e">
        <f ca="1">VLOOKUP(A418,#REF!,1,0)</f>
        <v>#REF!</v>
      </c>
    </row>
    <row r="419" spans="1:8" ht="19.95" customHeight="1" x14ac:dyDescent="0.25">
      <c r="A419" s="6" t="str">
        <f t="shared" ca="1" si="9"/>
        <v>202508</v>
      </c>
      <c r="B419" s="36"/>
      <c r="C419" s="3"/>
      <c r="D419" s="19"/>
      <c r="E419" s="3"/>
      <c r="F419" s="44"/>
      <c r="G419" s="56"/>
      <c r="H419" s="48" t="e">
        <f ca="1">VLOOKUP(A419,#REF!,1,0)</f>
        <v>#REF!</v>
      </c>
    </row>
    <row r="420" spans="1:8" ht="19.95" customHeight="1" x14ac:dyDescent="0.25">
      <c r="A420" s="6" t="str">
        <f t="shared" ca="1" si="9"/>
        <v>202508</v>
      </c>
      <c r="B420" s="36"/>
      <c r="C420" s="3"/>
      <c r="D420" s="19"/>
      <c r="E420" s="45"/>
      <c r="F420" s="14"/>
      <c r="G420" s="56"/>
      <c r="H420" s="48" t="e">
        <f ca="1">VLOOKUP(A420,#REF!,1,0)</f>
        <v>#REF!</v>
      </c>
    </row>
    <row r="421" spans="1:8" ht="19.95" customHeight="1" x14ac:dyDescent="0.25">
      <c r="A421" s="6" t="str">
        <f t="shared" ca="1" si="9"/>
        <v>202508</v>
      </c>
      <c r="B421" s="36"/>
      <c r="C421" s="3"/>
      <c r="D421" s="19"/>
      <c r="E421" s="3"/>
      <c r="F421" s="14"/>
      <c r="G421" s="64"/>
      <c r="H421" s="48" t="e">
        <f ca="1">VLOOKUP(A421,#REF!,1,0)</f>
        <v>#REF!</v>
      </c>
    </row>
    <row r="422" spans="1:8" ht="19.95" customHeight="1" x14ac:dyDescent="0.25">
      <c r="A422" s="6" t="str">
        <f t="shared" ca="1" si="9"/>
        <v>202508</v>
      </c>
      <c r="B422" s="36"/>
      <c r="C422" s="3"/>
      <c r="D422" s="19"/>
      <c r="E422" s="3"/>
      <c r="F422" s="14"/>
      <c r="G422" s="56"/>
      <c r="H422" s="48" t="e">
        <f ca="1">VLOOKUP(A422,#REF!,1,0)</f>
        <v>#REF!</v>
      </c>
    </row>
    <row r="423" spans="1:8" ht="19.95" customHeight="1" x14ac:dyDescent="0.25">
      <c r="A423" s="6" t="str">
        <f t="shared" ca="1" si="9"/>
        <v>202508</v>
      </c>
      <c r="B423" s="36"/>
      <c r="C423" s="3"/>
      <c r="D423" s="19"/>
      <c r="E423" s="3"/>
      <c r="F423" s="14"/>
      <c r="G423" s="56"/>
      <c r="H423" s="48" t="e">
        <f ca="1">VLOOKUP(A423,#REF!,1,0)</f>
        <v>#REF!</v>
      </c>
    </row>
    <row r="424" spans="1:8" ht="19.95" customHeight="1" x14ac:dyDescent="0.25">
      <c r="A424" s="6" t="str">
        <f t="shared" ca="1" si="9"/>
        <v>202508</v>
      </c>
      <c r="B424" s="36"/>
      <c r="C424" s="3"/>
      <c r="D424" s="19"/>
      <c r="E424" s="3"/>
      <c r="F424" s="44"/>
      <c r="G424" s="56"/>
      <c r="H424" s="48" t="e">
        <f ca="1">VLOOKUP(A424,#REF!,1,0)</f>
        <v>#REF!</v>
      </c>
    </row>
    <row r="425" spans="1:8" ht="19.95" customHeight="1" x14ac:dyDescent="0.25">
      <c r="A425" s="6" t="str">
        <f t="shared" ca="1" si="9"/>
        <v>202508</v>
      </c>
      <c r="B425" s="36"/>
      <c r="C425" s="3"/>
      <c r="D425" s="19"/>
      <c r="E425" s="45"/>
      <c r="F425" s="44"/>
      <c r="G425" s="56"/>
      <c r="H425" s="48" t="e">
        <f ca="1">VLOOKUP(A425,#REF!,1,0)</f>
        <v>#REF!</v>
      </c>
    </row>
    <row r="426" spans="1:8" ht="19.95" customHeight="1" x14ac:dyDescent="0.25">
      <c r="A426" s="6" t="str">
        <f t="shared" ca="1" si="9"/>
        <v>202508</v>
      </c>
      <c r="B426" s="36"/>
      <c r="C426" s="3"/>
      <c r="D426" s="19"/>
      <c r="E426" s="3"/>
      <c r="F426" s="14"/>
      <c r="G426" s="56"/>
      <c r="H426" s="48" t="e">
        <f ca="1">VLOOKUP(A426,#REF!,1,0)</f>
        <v>#REF!</v>
      </c>
    </row>
    <row r="427" spans="1:8" ht="19.95" customHeight="1" x14ac:dyDescent="0.25">
      <c r="A427" s="6" t="str">
        <f t="shared" ca="1" si="9"/>
        <v>202508</v>
      </c>
      <c r="B427" s="36"/>
      <c r="C427" s="3"/>
      <c r="D427" s="19"/>
      <c r="E427" s="3"/>
      <c r="F427" s="14"/>
      <c r="G427" s="64"/>
      <c r="H427" s="48" t="e">
        <f ca="1">VLOOKUP(A427,#REF!,1,0)</f>
        <v>#REF!</v>
      </c>
    </row>
    <row r="428" spans="1:8" ht="19.95" customHeight="1" x14ac:dyDescent="0.25">
      <c r="A428" s="6" t="str">
        <f t="shared" ca="1" si="9"/>
        <v>202508</v>
      </c>
      <c r="B428" s="36"/>
      <c r="C428" s="3"/>
      <c r="D428" s="19"/>
      <c r="E428" s="3"/>
      <c r="F428" s="14"/>
      <c r="G428" s="56"/>
      <c r="H428" s="48" t="e">
        <f ca="1">VLOOKUP(A428,#REF!,1,0)</f>
        <v>#REF!</v>
      </c>
    </row>
    <row r="429" spans="1:8" ht="19.95" customHeight="1" x14ac:dyDescent="0.25">
      <c r="A429" s="6" t="str">
        <f t="shared" ca="1" si="9"/>
        <v>202508</v>
      </c>
      <c r="B429" s="36"/>
      <c r="C429" s="3"/>
      <c r="D429" s="19"/>
      <c r="E429" s="3"/>
      <c r="F429" s="14"/>
      <c r="G429" s="56"/>
      <c r="H429" s="48" t="e">
        <f ca="1">VLOOKUP(A429,#REF!,1,0)</f>
        <v>#REF!</v>
      </c>
    </row>
    <row r="430" spans="1:8" ht="19.95" customHeight="1" x14ac:dyDescent="0.25">
      <c r="A430" s="6" t="str">
        <f t="shared" ca="1" si="9"/>
        <v>202508</v>
      </c>
      <c r="B430" s="36"/>
      <c r="C430" s="3"/>
      <c r="D430" s="19"/>
      <c r="E430" s="3"/>
      <c r="F430" s="44"/>
      <c r="G430" s="56"/>
      <c r="H430" s="48" t="e">
        <f ca="1">VLOOKUP(A430,#REF!,1,0)</f>
        <v>#REF!</v>
      </c>
    </row>
    <row r="431" spans="1:8" ht="19.95" customHeight="1" x14ac:dyDescent="0.25">
      <c r="A431" s="6" t="str">
        <f t="shared" ca="1" si="9"/>
        <v>202508</v>
      </c>
      <c r="B431" s="36"/>
      <c r="C431" s="3"/>
      <c r="D431" s="19"/>
      <c r="E431" s="3"/>
      <c r="F431" s="14"/>
      <c r="G431" s="64"/>
      <c r="H431" s="48" t="e">
        <f ca="1">VLOOKUP(A431,#REF!,1,0)</f>
        <v>#REF!</v>
      </c>
    </row>
    <row r="432" spans="1:8" ht="19.95" customHeight="1" x14ac:dyDescent="0.25">
      <c r="A432" s="6" t="str">
        <f t="shared" ca="1" si="9"/>
        <v>202508</v>
      </c>
      <c r="B432" s="36"/>
      <c r="C432" s="3"/>
      <c r="D432" s="19"/>
      <c r="E432" s="3"/>
      <c r="F432" s="14"/>
      <c r="G432" s="56"/>
      <c r="H432" s="48" t="e">
        <f ca="1">VLOOKUP(A432,#REF!,1,0)</f>
        <v>#REF!</v>
      </c>
    </row>
    <row r="433" spans="1:175" ht="19.95" customHeight="1" x14ac:dyDescent="0.25">
      <c r="A433" s="6" t="str">
        <f t="shared" ca="1" si="9"/>
        <v>202508</v>
      </c>
      <c r="B433" s="36"/>
      <c r="C433" s="3"/>
      <c r="D433" s="19"/>
      <c r="E433" s="3"/>
      <c r="F433" s="14"/>
      <c r="G433" s="56"/>
      <c r="H433" s="48" t="e">
        <f ca="1">VLOOKUP(A433,#REF!,1,0)</f>
        <v>#REF!</v>
      </c>
    </row>
    <row r="434" spans="1:175" ht="19.95" customHeight="1" x14ac:dyDescent="0.25">
      <c r="A434" s="6" t="str">
        <f t="shared" ca="1" si="9"/>
        <v>202508</v>
      </c>
      <c r="B434" s="36"/>
      <c r="C434" s="3"/>
      <c r="D434" s="19"/>
      <c r="E434" s="3"/>
      <c r="F434" s="14"/>
      <c r="G434" s="56"/>
      <c r="H434" s="48" t="e">
        <f ca="1">VLOOKUP(A434,#REF!,1,0)</f>
        <v>#REF!</v>
      </c>
    </row>
    <row r="435" spans="1:175" ht="19.95" customHeight="1" x14ac:dyDescent="0.25">
      <c r="A435" s="6" t="str">
        <f t="shared" ca="1" si="9"/>
        <v>202508</v>
      </c>
      <c r="B435" s="36"/>
      <c r="C435" s="3"/>
      <c r="D435" s="19"/>
      <c r="E435" s="3"/>
      <c r="F435" s="14"/>
      <c r="G435" s="64"/>
      <c r="H435" s="48" t="e">
        <f ca="1">VLOOKUP(A435,#REF!,1,0)</f>
        <v>#REF!</v>
      </c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H435" s="6"/>
      <c r="BI435" s="6"/>
      <c r="BJ435" s="6"/>
      <c r="BK435" s="6"/>
      <c r="BL435" s="6"/>
      <c r="BM435" s="6"/>
      <c r="BN435" s="6"/>
      <c r="BO435" s="6"/>
      <c r="BP435" s="6"/>
      <c r="BQ435" s="6"/>
      <c r="BR435" s="6"/>
      <c r="BS435" s="6"/>
      <c r="BT435" s="6"/>
      <c r="BU435" s="6"/>
      <c r="BV435" s="6"/>
      <c r="BW435" s="6"/>
      <c r="BX435" s="6"/>
      <c r="BY435" s="6"/>
      <c r="BZ435" s="6"/>
      <c r="CA435" s="6"/>
      <c r="CB435" s="6"/>
      <c r="CC435" s="6"/>
      <c r="CD435" s="6"/>
      <c r="CE435" s="6"/>
      <c r="CF435" s="6"/>
      <c r="CG435" s="6"/>
      <c r="CH435" s="6"/>
      <c r="CI435" s="6"/>
      <c r="CJ435" s="6"/>
      <c r="CK435" s="6"/>
      <c r="CL435" s="6"/>
      <c r="CM435" s="6"/>
      <c r="CN435" s="6"/>
      <c r="CO435" s="6"/>
      <c r="CP435" s="6"/>
      <c r="CQ435" s="6"/>
      <c r="CR435" s="6"/>
      <c r="CS435" s="6"/>
      <c r="CT435" s="6"/>
      <c r="CU435" s="6"/>
      <c r="CV435" s="6"/>
      <c r="CW435" s="6"/>
      <c r="CX435" s="6"/>
      <c r="CY435" s="6"/>
      <c r="CZ435" s="6"/>
      <c r="DA435" s="6"/>
      <c r="DB435" s="6"/>
      <c r="DC435" s="6"/>
      <c r="DD435" s="6"/>
      <c r="DE435" s="6"/>
      <c r="DF435" s="6"/>
      <c r="DG435" s="6"/>
      <c r="DH435" s="6"/>
      <c r="DI435" s="6"/>
      <c r="DJ435" s="6"/>
      <c r="DK435" s="6"/>
      <c r="DL435" s="6"/>
      <c r="DM435" s="6"/>
      <c r="DN435" s="6"/>
      <c r="DO435" s="6"/>
      <c r="DP435" s="6"/>
      <c r="DQ435" s="6"/>
      <c r="DR435" s="6"/>
      <c r="DS435" s="6"/>
      <c r="DT435" s="6"/>
      <c r="DU435" s="6"/>
      <c r="DV435" s="6"/>
      <c r="DW435" s="6"/>
      <c r="DX435" s="6"/>
      <c r="DY435" s="6"/>
      <c r="DZ435" s="6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  <c r="ER435" s="6"/>
      <c r="ES435" s="6"/>
      <c r="ET435" s="6"/>
      <c r="EU435" s="6"/>
      <c r="EV435" s="6"/>
      <c r="EW435" s="6"/>
      <c r="EX435" s="6"/>
      <c r="EY435" s="6"/>
      <c r="EZ435" s="6"/>
      <c r="FA435" s="6"/>
      <c r="FB435" s="6"/>
      <c r="FC435" s="6"/>
      <c r="FD435" s="6"/>
      <c r="FE435" s="6"/>
      <c r="FF435" s="6"/>
      <c r="FG435" s="6"/>
      <c r="FH435" s="6"/>
      <c r="FI435" s="6"/>
      <c r="FJ435" s="6"/>
      <c r="FK435" s="6"/>
      <c r="FL435" s="6"/>
      <c r="FM435" s="6"/>
      <c r="FN435" s="6"/>
      <c r="FO435" s="6"/>
      <c r="FP435" s="6"/>
      <c r="FQ435" s="6"/>
      <c r="FR435" s="6"/>
      <c r="FS435" s="6"/>
    </row>
    <row r="436" spans="1:175" ht="19.95" customHeight="1" x14ac:dyDescent="0.25">
      <c r="A436" s="6" t="str">
        <f t="shared" ca="1" si="9"/>
        <v>202508</v>
      </c>
      <c r="B436" s="36"/>
      <c r="C436" s="3"/>
      <c r="D436" s="19"/>
      <c r="E436" s="3"/>
      <c r="F436" s="14"/>
      <c r="G436" s="64"/>
      <c r="H436" s="48" t="e">
        <f ca="1">VLOOKUP(A436,#REF!,1,0)</f>
        <v>#REF!</v>
      </c>
    </row>
    <row r="437" spans="1:175" ht="19.95" customHeight="1" x14ac:dyDescent="0.25">
      <c r="A437" s="6" t="str">
        <f t="shared" ca="1" si="9"/>
        <v>202508</v>
      </c>
      <c r="B437" s="36"/>
      <c r="C437" s="3"/>
      <c r="D437" s="19"/>
      <c r="E437" s="3"/>
      <c r="F437" s="14"/>
      <c r="G437" s="56"/>
      <c r="H437" s="48" t="e">
        <f ca="1">VLOOKUP(A437,#REF!,1,0)</f>
        <v>#REF!</v>
      </c>
    </row>
    <row r="438" spans="1:175" ht="19.95" customHeight="1" x14ac:dyDescent="0.25">
      <c r="A438" s="6" t="str">
        <f t="shared" ca="1" si="9"/>
        <v>202508</v>
      </c>
      <c r="B438" s="36"/>
      <c r="C438" s="3"/>
      <c r="D438" s="19"/>
      <c r="E438" s="45"/>
      <c r="F438" s="44"/>
      <c r="G438" s="56"/>
      <c r="H438" s="48" t="e">
        <f ca="1">VLOOKUP(A438,#REF!,1,0)</f>
        <v>#REF!</v>
      </c>
    </row>
    <row r="439" spans="1:175" ht="19.95" customHeight="1" x14ac:dyDescent="0.25">
      <c r="A439" s="6" t="str">
        <f t="shared" ca="1" si="9"/>
        <v>202508</v>
      </c>
      <c r="B439" s="36"/>
      <c r="C439" s="3"/>
      <c r="D439" s="19"/>
      <c r="E439" s="3"/>
      <c r="F439" s="14"/>
      <c r="G439" s="64"/>
      <c r="H439" s="48" t="e">
        <f ca="1">VLOOKUP(A439,#REF!,1,0)</f>
        <v>#REF!</v>
      </c>
    </row>
    <row r="440" spans="1:175" ht="19.95" customHeight="1" x14ac:dyDescent="0.25">
      <c r="A440" s="6" t="str">
        <f t="shared" ca="1" si="9"/>
        <v>202508</v>
      </c>
      <c r="B440" s="36"/>
      <c r="C440" s="3"/>
      <c r="D440" s="19"/>
      <c r="E440" s="3"/>
      <c r="F440" s="14"/>
      <c r="G440" s="56"/>
      <c r="H440" s="48" t="e">
        <f ca="1">VLOOKUP(A440,#REF!,1,0)</f>
        <v>#REF!</v>
      </c>
    </row>
    <row r="441" spans="1:175" ht="19.95" customHeight="1" x14ac:dyDescent="0.25">
      <c r="A441" s="6" t="str">
        <f t="shared" ca="1" si="9"/>
        <v>202508</v>
      </c>
      <c r="B441" s="36"/>
      <c r="C441" s="3"/>
      <c r="D441" s="19"/>
      <c r="E441" s="3"/>
      <c r="F441" s="14"/>
      <c r="G441" s="56"/>
      <c r="H441" s="48" t="e">
        <f ca="1">VLOOKUP(A441,#REF!,1,0)</f>
        <v>#REF!</v>
      </c>
    </row>
    <row r="442" spans="1:175" ht="19.95" customHeight="1" x14ac:dyDescent="0.25">
      <c r="A442" s="6" t="str">
        <f t="shared" ca="1" si="9"/>
        <v>202508</v>
      </c>
      <c r="B442" s="36"/>
      <c r="C442" s="3"/>
      <c r="D442" s="19"/>
      <c r="E442" s="3"/>
      <c r="F442" s="14"/>
      <c r="G442" s="56"/>
      <c r="H442" s="48" t="e">
        <f ca="1">VLOOKUP(A442,#REF!,1,0)</f>
        <v>#REF!</v>
      </c>
    </row>
    <row r="443" spans="1:175" ht="19.95" customHeight="1" x14ac:dyDescent="0.25">
      <c r="A443" s="6" t="str">
        <f t="shared" ca="1" si="9"/>
        <v>202508</v>
      </c>
      <c r="B443" s="36"/>
      <c r="C443" s="3"/>
      <c r="D443" s="19"/>
      <c r="E443" s="3"/>
      <c r="F443" s="14"/>
      <c r="G443" s="56"/>
      <c r="H443" s="48" t="e">
        <f ca="1">VLOOKUP(A443,#REF!,1,0)</f>
        <v>#REF!</v>
      </c>
    </row>
    <row r="444" spans="1:175" ht="19.95" customHeight="1" x14ac:dyDescent="0.25">
      <c r="A444" s="6" t="str">
        <f t="shared" ca="1" si="9"/>
        <v>202508</v>
      </c>
      <c r="B444" s="36"/>
      <c r="C444" s="3"/>
      <c r="D444" s="19"/>
      <c r="E444" s="3"/>
      <c r="F444" s="14"/>
      <c r="G444" s="64"/>
      <c r="H444" s="48" t="e">
        <f ca="1">VLOOKUP(A444,#REF!,1,0)</f>
        <v>#REF!</v>
      </c>
    </row>
    <row r="445" spans="1:175" ht="19.95" customHeight="1" x14ac:dyDescent="0.25">
      <c r="A445" s="6" t="str">
        <f t="shared" ca="1" si="9"/>
        <v>202508</v>
      </c>
      <c r="B445" s="36"/>
      <c r="C445" s="3"/>
      <c r="D445" s="19"/>
      <c r="E445" s="45"/>
      <c r="F445" s="44"/>
      <c r="G445" s="56"/>
      <c r="H445" s="48" t="e">
        <f ca="1">VLOOKUP(A445,#REF!,1,0)</f>
        <v>#REF!</v>
      </c>
    </row>
    <row r="446" spans="1:175" ht="19.95" customHeight="1" x14ac:dyDescent="0.25">
      <c r="A446" s="6" t="str">
        <f t="shared" ca="1" si="9"/>
        <v>202508</v>
      </c>
      <c r="B446" s="36"/>
      <c r="C446" s="3"/>
      <c r="D446" s="19"/>
      <c r="E446" s="3"/>
      <c r="F446" s="14"/>
      <c r="G446" s="64"/>
      <c r="H446" s="48" t="e">
        <f ca="1">VLOOKUP(A446,#REF!,1,0)</f>
        <v>#REF!</v>
      </c>
    </row>
    <row r="447" spans="1:175" ht="19.95" customHeight="1" x14ac:dyDescent="0.25">
      <c r="A447" s="6" t="str">
        <f t="shared" ca="1" si="9"/>
        <v>202508</v>
      </c>
      <c r="B447" s="36"/>
      <c r="C447" s="3"/>
      <c r="D447" s="19"/>
      <c r="E447" s="3"/>
      <c r="F447" s="14"/>
      <c r="G447" s="56"/>
      <c r="H447" s="48" t="e">
        <f ca="1">VLOOKUP(A447,#REF!,1,0)</f>
        <v>#REF!</v>
      </c>
    </row>
    <row r="448" spans="1:175" ht="19.95" customHeight="1" x14ac:dyDescent="0.25">
      <c r="A448" s="6" t="str">
        <f t="shared" ca="1" si="9"/>
        <v>202508</v>
      </c>
      <c r="B448" s="38"/>
      <c r="C448" s="3"/>
      <c r="D448" s="19"/>
      <c r="E448" s="3"/>
      <c r="F448" s="44"/>
      <c r="G448" s="56"/>
      <c r="H448" s="48" t="e">
        <f ca="1">VLOOKUP(A448,#REF!,1,0)</f>
        <v>#REF!</v>
      </c>
    </row>
    <row r="449" spans="1:175" ht="19.95" customHeight="1" x14ac:dyDescent="0.25">
      <c r="A449" s="6" t="str">
        <f t="shared" ca="1" si="9"/>
        <v>202508</v>
      </c>
      <c r="B449" s="36"/>
      <c r="C449" s="3"/>
      <c r="D449" s="19"/>
      <c r="E449" s="3"/>
      <c r="F449" s="14"/>
      <c r="G449" s="56"/>
      <c r="H449" s="48" t="e">
        <f ca="1">VLOOKUP(A449,#REF!,1,0)</f>
        <v>#REF!</v>
      </c>
    </row>
    <row r="450" spans="1:175" ht="19.95" customHeight="1" x14ac:dyDescent="0.25">
      <c r="A450" s="6" t="str">
        <f t="shared" ca="1" si="9"/>
        <v>202508</v>
      </c>
      <c r="B450" s="36"/>
      <c r="C450" s="3"/>
      <c r="D450" s="19"/>
      <c r="E450" s="3"/>
      <c r="F450" s="14"/>
      <c r="G450" s="64"/>
      <c r="H450" s="48" t="e">
        <f ca="1">VLOOKUP(A450,#REF!,1,0)</f>
        <v>#REF!</v>
      </c>
    </row>
    <row r="451" spans="1:175" ht="19.95" customHeight="1" x14ac:dyDescent="0.25">
      <c r="A451" s="6" t="str">
        <f t="shared" ca="1" si="9"/>
        <v>202508</v>
      </c>
      <c r="B451" s="36"/>
      <c r="C451" s="3"/>
      <c r="D451" s="19"/>
      <c r="E451" s="3"/>
      <c r="F451" s="14"/>
      <c r="G451" s="64"/>
      <c r="H451" s="48" t="e">
        <f ca="1">VLOOKUP(A451,#REF!,1,0)</f>
        <v>#REF!</v>
      </c>
    </row>
    <row r="452" spans="1:175" ht="19.95" customHeight="1" x14ac:dyDescent="0.25">
      <c r="A452" s="6" t="str">
        <f t="shared" ca="1" si="9"/>
        <v>202508</v>
      </c>
      <c r="B452" s="36"/>
      <c r="C452" s="3"/>
      <c r="D452" s="19"/>
      <c r="E452" s="3"/>
      <c r="F452" s="14"/>
      <c r="G452" s="56"/>
      <c r="H452" s="48" t="e">
        <f ca="1">VLOOKUP(A452,#REF!,1,0)</f>
        <v>#REF!</v>
      </c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H452" s="6"/>
      <c r="BI452" s="6"/>
      <c r="BJ452" s="6"/>
      <c r="BK452" s="6"/>
      <c r="BL452" s="6"/>
      <c r="BM452" s="6"/>
      <c r="BN452" s="6"/>
      <c r="BO452" s="6"/>
      <c r="BP452" s="6"/>
      <c r="BQ452" s="6"/>
      <c r="BR452" s="6"/>
      <c r="BS452" s="6"/>
      <c r="BT452" s="6"/>
      <c r="BU452" s="6"/>
      <c r="BV452" s="6"/>
      <c r="BW452" s="6"/>
      <c r="BX452" s="6"/>
      <c r="BY452" s="6"/>
      <c r="BZ452" s="6"/>
      <c r="CA452" s="6"/>
      <c r="CB452" s="6"/>
      <c r="CC452" s="6"/>
      <c r="CD452" s="6"/>
      <c r="CE452" s="6"/>
      <c r="CF452" s="6"/>
      <c r="CG452" s="6"/>
      <c r="CH452" s="6"/>
      <c r="CI452" s="6"/>
      <c r="CJ452" s="6"/>
      <c r="CK452" s="6"/>
      <c r="CL452" s="6"/>
      <c r="CM452" s="6"/>
      <c r="CN452" s="6"/>
      <c r="CO452" s="6"/>
      <c r="CP452" s="6"/>
      <c r="CQ452" s="6"/>
      <c r="CR452" s="6"/>
      <c r="CS452" s="6"/>
      <c r="CT452" s="6"/>
      <c r="CU452" s="6"/>
      <c r="CV452" s="6"/>
      <c r="CW452" s="6"/>
      <c r="CX452" s="6"/>
      <c r="CY452" s="6"/>
      <c r="CZ452" s="6"/>
      <c r="DA452" s="6"/>
      <c r="DB452" s="6"/>
      <c r="DC452" s="6"/>
      <c r="DD452" s="6"/>
      <c r="DE452" s="6"/>
      <c r="DF452" s="6"/>
      <c r="DG452" s="6"/>
      <c r="DH452" s="6"/>
      <c r="DI452" s="6"/>
      <c r="DJ452" s="6"/>
      <c r="DK452" s="6"/>
      <c r="DL452" s="6"/>
      <c r="DM452" s="6"/>
      <c r="DN452" s="6"/>
      <c r="DO452" s="6"/>
      <c r="DP452" s="6"/>
      <c r="DQ452" s="6"/>
      <c r="DR452" s="6"/>
      <c r="DS452" s="6"/>
      <c r="DT452" s="6"/>
      <c r="DU452" s="6"/>
      <c r="DV452" s="6"/>
      <c r="DW452" s="6"/>
      <c r="DX452" s="6"/>
      <c r="DY452" s="6"/>
      <c r="DZ452" s="6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  <c r="ER452" s="6"/>
      <c r="ES452" s="6"/>
      <c r="ET452" s="6"/>
      <c r="EU452" s="6"/>
      <c r="EV452" s="6"/>
      <c r="EW452" s="6"/>
      <c r="EX452" s="6"/>
      <c r="EY452" s="6"/>
      <c r="EZ452" s="6"/>
      <c r="FA452" s="6"/>
      <c r="FB452" s="6"/>
      <c r="FC452" s="6"/>
      <c r="FD452" s="6"/>
      <c r="FE452" s="6"/>
      <c r="FF452" s="6"/>
      <c r="FG452" s="6"/>
      <c r="FH452" s="6"/>
      <c r="FI452" s="6"/>
      <c r="FJ452" s="6"/>
      <c r="FK452" s="6"/>
      <c r="FL452" s="6"/>
      <c r="FM452" s="6"/>
      <c r="FN452" s="6"/>
      <c r="FO452" s="6"/>
      <c r="FP452" s="6"/>
      <c r="FQ452" s="6"/>
      <c r="FR452" s="6"/>
      <c r="FS452" s="6"/>
    </row>
    <row r="453" spans="1:175" ht="19.95" customHeight="1" x14ac:dyDescent="0.25">
      <c r="A453" s="6" t="str">
        <f t="shared" ca="1" si="9"/>
        <v>202508</v>
      </c>
      <c r="B453" s="36"/>
      <c r="C453" s="3"/>
      <c r="D453" s="19"/>
      <c r="E453" s="3"/>
      <c r="F453" s="14"/>
      <c r="G453" s="56"/>
      <c r="H453" s="48" t="e">
        <f ca="1">VLOOKUP(A453,#REF!,1,0)</f>
        <v>#REF!</v>
      </c>
    </row>
    <row r="454" spans="1:175" ht="19.95" customHeight="1" x14ac:dyDescent="0.25">
      <c r="A454" s="6" t="str">
        <f t="shared" ca="1" si="9"/>
        <v>202508</v>
      </c>
      <c r="B454" s="36"/>
      <c r="C454" s="3"/>
      <c r="D454" s="19"/>
      <c r="E454" s="3"/>
      <c r="F454" s="14"/>
      <c r="G454" s="64"/>
      <c r="H454" s="48" t="e">
        <f ca="1">VLOOKUP(A454,#REF!,1,0)</f>
        <v>#REF!</v>
      </c>
    </row>
    <row r="455" spans="1:175" ht="19.95" customHeight="1" x14ac:dyDescent="0.25">
      <c r="A455" s="6" t="str">
        <f t="shared" ca="1" si="9"/>
        <v>202508</v>
      </c>
      <c r="B455" s="36"/>
      <c r="C455" s="3"/>
      <c r="D455" s="19"/>
      <c r="E455" s="3"/>
      <c r="F455" s="14"/>
      <c r="G455" s="64"/>
      <c r="H455" s="48" t="e">
        <f ca="1">VLOOKUP(A455,#REF!,1,0)</f>
        <v>#REF!</v>
      </c>
    </row>
    <row r="456" spans="1:175" ht="19.95" customHeight="1" x14ac:dyDescent="0.25">
      <c r="A456" s="6" t="str">
        <f t="shared" ca="1" si="9"/>
        <v>202508</v>
      </c>
      <c r="B456" s="36"/>
      <c r="C456" s="3"/>
      <c r="D456" s="19"/>
      <c r="E456" s="45"/>
      <c r="F456" s="14"/>
      <c r="G456" s="56"/>
      <c r="H456" s="48" t="e">
        <f ca="1">VLOOKUP(A456,#REF!,1,0)</f>
        <v>#REF!</v>
      </c>
    </row>
    <row r="457" spans="1:175" ht="19.95" customHeight="1" x14ac:dyDescent="0.25">
      <c r="A457" s="6" t="str">
        <f t="shared" ref="A457:A495" ca="1" si="10" xml:space="preserve"> $A$5&amp;$A$6&amp;SUBSTITUTE(C457,".pdf","")</f>
        <v>202508</v>
      </c>
      <c r="B457" s="36"/>
      <c r="C457" s="3"/>
      <c r="D457" s="19"/>
      <c r="E457" s="3"/>
      <c r="F457" s="14"/>
      <c r="G457" s="56"/>
      <c r="H457" s="48" t="e">
        <f ca="1">VLOOKUP(A457,#REF!,1,0)</f>
        <v>#REF!</v>
      </c>
    </row>
    <row r="458" spans="1:175" ht="19.95" customHeight="1" x14ac:dyDescent="0.25">
      <c r="A458" s="6" t="str">
        <f t="shared" ca="1" si="10"/>
        <v>202508</v>
      </c>
      <c r="B458" s="36"/>
      <c r="C458" s="3"/>
      <c r="D458" s="19"/>
      <c r="E458" s="45"/>
      <c r="F458" s="44"/>
      <c r="G458" s="56"/>
      <c r="H458" s="48" t="e">
        <f ca="1">VLOOKUP(A458,#REF!,1,0)</f>
        <v>#REF!</v>
      </c>
    </row>
    <row r="459" spans="1:175" ht="19.95" customHeight="1" x14ac:dyDescent="0.25">
      <c r="A459" s="6" t="str">
        <f t="shared" ca="1" si="10"/>
        <v>202508</v>
      </c>
      <c r="B459" s="38"/>
      <c r="C459" s="3"/>
      <c r="D459" s="19"/>
      <c r="E459" s="3"/>
      <c r="F459" s="14"/>
      <c r="G459" s="64"/>
      <c r="H459" s="48" t="e">
        <f ca="1">VLOOKUP(A459,#REF!,1,0)</f>
        <v>#REF!</v>
      </c>
    </row>
    <row r="460" spans="1:175" ht="19.95" customHeight="1" x14ac:dyDescent="0.25">
      <c r="A460" s="6" t="str">
        <f t="shared" ca="1" si="10"/>
        <v>202508</v>
      </c>
      <c r="B460" s="36"/>
      <c r="C460" s="3"/>
      <c r="D460" s="19"/>
      <c r="E460" s="3"/>
      <c r="F460" s="14"/>
      <c r="G460" s="64"/>
      <c r="H460" s="48" t="e">
        <f ca="1">VLOOKUP(A460,#REF!,1,0)</f>
        <v>#REF!</v>
      </c>
    </row>
    <row r="461" spans="1:175" ht="19.95" customHeight="1" x14ac:dyDescent="0.25">
      <c r="A461" s="6" t="str">
        <f t="shared" ca="1" si="10"/>
        <v>202508</v>
      </c>
      <c r="B461" s="36"/>
      <c r="C461" s="3"/>
      <c r="D461" s="19"/>
      <c r="E461" s="3"/>
      <c r="F461" s="14"/>
      <c r="G461" s="56"/>
      <c r="H461" s="48" t="e">
        <f ca="1">VLOOKUP(A461,#REF!,1,0)</f>
        <v>#REF!</v>
      </c>
    </row>
    <row r="462" spans="1:175" ht="19.95" customHeight="1" x14ac:dyDescent="0.25">
      <c r="A462" s="6" t="str">
        <f t="shared" ca="1" si="10"/>
        <v>202508</v>
      </c>
      <c r="B462" s="36"/>
      <c r="C462" s="3"/>
      <c r="D462" s="19"/>
      <c r="E462" s="3"/>
      <c r="F462" s="14"/>
      <c r="G462" s="56"/>
      <c r="H462" s="48" t="e">
        <f ca="1">VLOOKUP(A462,#REF!,1,0)</f>
        <v>#REF!</v>
      </c>
    </row>
    <row r="463" spans="1:175" ht="19.95" customHeight="1" x14ac:dyDescent="0.25">
      <c r="A463" s="6" t="str">
        <f t="shared" ca="1" si="10"/>
        <v>202508</v>
      </c>
      <c r="B463" s="36"/>
      <c r="C463" s="3"/>
      <c r="D463" s="19"/>
      <c r="E463" s="3"/>
      <c r="F463" s="44"/>
      <c r="G463" s="56"/>
      <c r="H463" s="48" t="e">
        <f ca="1">VLOOKUP(A463,#REF!,1,0)</f>
        <v>#REF!</v>
      </c>
    </row>
    <row r="464" spans="1:175" ht="19.95" customHeight="1" x14ac:dyDescent="0.25">
      <c r="A464" s="6" t="str">
        <f t="shared" ca="1" si="10"/>
        <v>202508</v>
      </c>
      <c r="B464" s="36"/>
      <c r="C464" s="3"/>
      <c r="D464" s="19"/>
      <c r="E464" s="3"/>
      <c r="F464" s="14"/>
      <c r="G464" s="56"/>
      <c r="H464" s="48" t="e">
        <f ca="1">VLOOKUP(A464,#REF!,1,0)</f>
        <v>#REF!</v>
      </c>
    </row>
    <row r="465" spans="1:8" ht="19.95" customHeight="1" x14ac:dyDescent="0.25">
      <c r="A465" s="6" t="str">
        <f t="shared" ca="1" si="10"/>
        <v>202508</v>
      </c>
      <c r="B465" s="36"/>
      <c r="C465" s="3"/>
      <c r="D465" s="19"/>
      <c r="E465" s="3"/>
      <c r="F465" s="44"/>
      <c r="G465" s="56"/>
      <c r="H465" s="48" t="e">
        <f ca="1">VLOOKUP(A465,#REF!,1,0)</f>
        <v>#REF!</v>
      </c>
    </row>
    <row r="466" spans="1:8" ht="19.95" customHeight="1" x14ac:dyDescent="0.25">
      <c r="A466" s="6" t="str">
        <f t="shared" ca="1" si="10"/>
        <v>202508</v>
      </c>
      <c r="B466" s="36"/>
      <c r="C466" s="3"/>
      <c r="D466" s="19"/>
      <c r="E466" s="3"/>
      <c r="F466" s="14"/>
      <c r="G466" s="56"/>
      <c r="H466" s="48" t="e">
        <f ca="1">VLOOKUP(A466,#REF!,1,0)</f>
        <v>#REF!</v>
      </c>
    </row>
    <row r="467" spans="1:8" ht="19.95" customHeight="1" x14ac:dyDescent="0.25">
      <c r="A467" s="6" t="str">
        <f t="shared" ca="1" si="10"/>
        <v>202508</v>
      </c>
      <c r="B467" s="36"/>
      <c r="C467" s="3"/>
      <c r="D467" s="19"/>
      <c r="E467" s="3"/>
      <c r="F467" s="14"/>
      <c r="G467" s="56"/>
      <c r="H467" s="48" t="e">
        <f ca="1">VLOOKUP(A467,#REF!,1,0)</f>
        <v>#REF!</v>
      </c>
    </row>
    <row r="468" spans="1:8" ht="19.95" customHeight="1" x14ac:dyDescent="0.25">
      <c r="A468" s="6" t="str">
        <f t="shared" ca="1" si="10"/>
        <v>202508</v>
      </c>
      <c r="B468" s="36"/>
      <c r="C468" s="3"/>
      <c r="D468" s="19"/>
      <c r="E468" s="3"/>
      <c r="F468" s="14"/>
      <c r="G468" s="64"/>
      <c r="H468" s="48" t="e">
        <f ca="1">VLOOKUP(A468,#REF!,1,0)</f>
        <v>#REF!</v>
      </c>
    </row>
    <row r="469" spans="1:8" ht="19.95" customHeight="1" x14ac:dyDescent="0.25">
      <c r="A469" s="6" t="str">
        <f t="shared" ca="1" si="10"/>
        <v>202508</v>
      </c>
      <c r="B469" s="36"/>
      <c r="C469" s="3"/>
      <c r="D469" s="19"/>
      <c r="E469" s="45"/>
      <c r="F469" s="44"/>
      <c r="G469" s="56"/>
      <c r="H469" s="48" t="e">
        <f ca="1">VLOOKUP(A469,#REF!,1,0)</f>
        <v>#REF!</v>
      </c>
    </row>
    <row r="470" spans="1:8" ht="19.95" customHeight="1" x14ac:dyDescent="0.25">
      <c r="A470" s="6" t="str">
        <f t="shared" ca="1" si="10"/>
        <v>202508</v>
      </c>
      <c r="B470" s="38"/>
      <c r="C470" s="3"/>
      <c r="D470" s="19"/>
      <c r="E470" s="3"/>
      <c r="F470" s="14"/>
      <c r="G470" s="56"/>
      <c r="H470" s="48" t="e">
        <f ca="1">VLOOKUP(A470,#REF!,1,0)</f>
        <v>#REF!</v>
      </c>
    </row>
    <row r="471" spans="1:8" ht="19.95" customHeight="1" x14ac:dyDescent="0.25">
      <c r="A471" s="6" t="str">
        <f t="shared" ca="1" si="10"/>
        <v>202508</v>
      </c>
      <c r="B471" s="36"/>
      <c r="C471" s="3"/>
      <c r="D471" s="19"/>
      <c r="E471" s="3"/>
      <c r="F471" s="14"/>
      <c r="G471" s="56"/>
      <c r="H471" s="48" t="e">
        <f ca="1">VLOOKUP(A471,#REF!,1,0)</f>
        <v>#REF!</v>
      </c>
    </row>
    <row r="472" spans="1:8" ht="19.95" customHeight="1" x14ac:dyDescent="0.25">
      <c r="A472" s="6" t="str">
        <f t="shared" ca="1" si="10"/>
        <v>202508</v>
      </c>
      <c r="B472" s="36"/>
      <c r="C472" s="3"/>
      <c r="D472" s="19"/>
      <c r="E472" s="45"/>
      <c r="F472" s="44"/>
      <c r="G472" s="56"/>
      <c r="H472" s="48" t="e">
        <f ca="1">VLOOKUP(A472,#REF!,1,0)</f>
        <v>#REF!</v>
      </c>
    </row>
    <row r="473" spans="1:8" ht="19.95" customHeight="1" x14ac:dyDescent="0.25">
      <c r="A473" s="6" t="str">
        <f t="shared" ca="1" si="10"/>
        <v>202508</v>
      </c>
      <c r="B473" s="36"/>
      <c r="C473" s="3"/>
      <c r="D473" s="19"/>
      <c r="E473" s="3"/>
      <c r="F473" s="14"/>
      <c r="G473" s="56"/>
      <c r="H473" s="48" t="e">
        <f ca="1">VLOOKUP(A473,#REF!,1,0)</f>
        <v>#REF!</v>
      </c>
    </row>
    <row r="474" spans="1:8" ht="19.95" customHeight="1" x14ac:dyDescent="0.25">
      <c r="A474" s="6" t="str">
        <f t="shared" ca="1" si="10"/>
        <v>202508</v>
      </c>
      <c r="B474" s="36"/>
      <c r="C474" s="3"/>
      <c r="D474" s="19"/>
      <c r="E474" s="3"/>
      <c r="F474" s="14"/>
      <c r="G474" s="64"/>
      <c r="H474" s="48" t="e">
        <f ca="1">VLOOKUP(A474,#REF!,1,0)</f>
        <v>#REF!</v>
      </c>
    </row>
    <row r="475" spans="1:8" ht="19.95" customHeight="1" x14ac:dyDescent="0.25">
      <c r="A475" s="6" t="str">
        <f t="shared" ca="1" si="10"/>
        <v>202508</v>
      </c>
      <c r="B475" s="36"/>
      <c r="C475" s="3"/>
      <c r="D475" s="19"/>
      <c r="E475" s="3"/>
      <c r="F475" s="14"/>
      <c r="G475" s="64"/>
      <c r="H475" s="48" t="e">
        <f ca="1">VLOOKUP(A475,#REF!,1,0)</f>
        <v>#REF!</v>
      </c>
    </row>
    <row r="476" spans="1:8" ht="19.95" customHeight="1" x14ac:dyDescent="0.25">
      <c r="A476" s="6" t="str">
        <f t="shared" ca="1" si="10"/>
        <v>202508</v>
      </c>
      <c r="B476" s="36"/>
      <c r="C476" s="3"/>
      <c r="D476" s="19"/>
      <c r="E476" s="3"/>
      <c r="F476" s="14"/>
      <c r="G476" s="64"/>
      <c r="H476" s="48" t="e">
        <f ca="1">VLOOKUP(A476,#REF!,1,0)</f>
        <v>#REF!</v>
      </c>
    </row>
    <row r="477" spans="1:8" ht="19.95" customHeight="1" x14ac:dyDescent="0.25">
      <c r="A477" s="6" t="str">
        <f t="shared" ca="1" si="10"/>
        <v>202508</v>
      </c>
      <c r="B477" s="36"/>
      <c r="C477" s="3"/>
      <c r="D477" s="19"/>
      <c r="E477" s="3"/>
      <c r="F477" s="14"/>
      <c r="G477" s="64"/>
      <c r="H477" s="48" t="e">
        <f ca="1">VLOOKUP(A477,#REF!,1,0)</f>
        <v>#REF!</v>
      </c>
    </row>
    <row r="478" spans="1:8" ht="19.95" customHeight="1" x14ac:dyDescent="0.25">
      <c r="A478" s="6" t="str">
        <f t="shared" ca="1" si="10"/>
        <v>202508</v>
      </c>
      <c r="B478" s="36"/>
      <c r="C478" s="3"/>
      <c r="D478" s="19"/>
      <c r="E478" s="45"/>
      <c r="F478" s="44"/>
      <c r="G478" s="56"/>
      <c r="H478" s="48" t="e">
        <f ca="1">VLOOKUP(A478,#REF!,1,0)</f>
        <v>#REF!</v>
      </c>
    </row>
    <row r="479" spans="1:8" ht="19.95" customHeight="1" x14ac:dyDescent="0.25">
      <c r="A479" s="6" t="str">
        <f t="shared" ca="1" si="10"/>
        <v>202508</v>
      </c>
      <c r="B479" s="36"/>
      <c r="C479" s="3"/>
      <c r="D479" s="19"/>
      <c r="E479" s="3"/>
      <c r="F479" s="14"/>
      <c r="G479" s="56"/>
      <c r="H479" s="48" t="e">
        <f ca="1">VLOOKUP(A479,#REF!,1,0)</f>
        <v>#REF!</v>
      </c>
    </row>
    <row r="480" spans="1:8" ht="19.95" customHeight="1" x14ac:dyDescent="0.25">
      <c r="A480" s="6" t="str">
        <f t="shared" ca="1" si="10"/>
        <v>202508</v>
      </c>
      <c r="B480" s="36"/>
      <c r="C480" s="3"/>
      <c r="D480" s="19"/>
      <c r="E480" s="3"/>
      <c r="F480" s="14"/>
      <c r="G480" s="56"/>
      <c r="H480" s="48" t="e">
        <f ca="1">VLOOKUP(A480,#REF!,1,0)</f>
        <v>#REF!</v>
      </c>
    </row>
    <row r="481" spans="1:8" ht="19.95" customHeight="1" x14ac:dyDescent="0.25">
      <c r="A481" s="6" t="str">
        <f t="shared" ca="1" si="10"/>
        <v>202508</v>
      </c>
      <c r="B481" s="38"/>
      <c r="C481" s="3"/>
      <c r="D481" s="19"/>
      <c r="E481" s="45"/>
      <c r="F481" s="44"/>
      <c r="G481" s="56"/>
      <c r="H481" s="48" t="e">
        <f ca="1">VLOOKUP(A481,#REF!,1,0)</f>
        <v>#REF!</v>
      </c>
    </row>
    <row r="482" spans="1:8" ht="19.95" customHeight="1" x14ac:dyDescent="0.25">
      <c r="A482" s="6" t="str">
        <f t="shared" ca="1" si="10"/>
        <v>202508</v>
      </c>
      <c r="B482" s="36"/>
      <c r="C482" s="3"/>
      <c r="D482" s="19"/>
      <c r="E482" s="3"/>
      <c r="F482" s="14"/>
      <c r="G482" s="64"/>
      <c r="H482" s="48" t="e">
        <f ca="1">VLOOKUP(A482,#REF!,1,0)</f>
        <v>#REF!</v>
      </c>
    </row>
    <row r="483" spans="1:8" ht="19.95" customHeight="1" x14ac:dyDescent="0.25">
      <c r="A483" s="6" t="str">
        <f t="shared" ca="1" si="10"/>
        <v>202508</v>
      </c>
      <c r="B483" s="36"/>
      <c r="C483" s="3"/>
      <c r="D483" s="19"/>
      <c r="E483" s="3"/>
      <c r="F483" s="14"/>
      <c r="G483" s="64"/>
      <c r="H483" s="48" t="e">
        <f ca="1">VLOOKUP(A483,#REF!,1,0)</f>
        <v>#REF!</v>
      </c>
    </row>
    <row r="484" spans="1:8" ht="19.95" customHeight="1" x14ac:dyDescent="0.25">
      <c r="A484" s="6" t="str">
        <f t="shared" ca="1" si="10"/>
        <v>202508</v>
      </c>
      <c r="B484" s="36"/>
      <c r="C484" s="3"/>
      <c r="D484" s="19"/>
      <c r="E484" s="3"/>
      <c r="F484" s="14"/>
      <c r="G484" s="64"/>
      <c r="H484" s="48" t="e">
        <f ca="1">VLOOKUP(A484,#REF!,1,0)</f>
        <v>#REF!</v>
      </c>
    </row>
    <row r="485" spans="1:8" ht="19.95" customHeight="1" x14ac:dyDescent="0.25">
      <c r="A485" s="6" t="str">
        <f t="shared" ca="1" si="10"/>
        <v>202508</v>
      </c>
      <c r="B485" s="36"/>
      <c r="C485" s="3"/>
      <c r="D485" s="19"/>
      <c r="E485" s="3"/>
      <c r="F485" s="14"/>
      <c r="G485" s="64"/>
      <c r="H485" s="48" t="e">
        <f ca="1">VLOOKUP(A485,#REF!,1,0)</f>
        <v>#REF!</v>
      </c>
    </row>
    <row r="486" spans="1:8" ht="19.95" customHeight="1" x14ac:dyDescent="0.25">
      <c r="A486" s="6" t="str">
        <f t="shared" ca="1" si="10"/>
        <v>202508</v>
      </c>
      <c r="B486" s="36"/>
      <c r="C486" s="3"/>
      <c r="D486" s="19"/>
      <c r="E486" s="3"/>
      <c r="F486" s="14"/>
      <c r="G486" s="56"/>
      <c r="H486" s="48" t="e">
        <f ca="1">VLOOKUP(A486,#REF!,1,0)</f>
        <v>#REF!</v>
      </c>
    </row>
    <row r="487" spans="1:8" ht="19.95" customHeight="1" x14ac:dyDescent="0.25">
      <c r="A487" s="6" t="str">
        <f t="shared" ca="1" si="10"/>
        <v>202508</v>
      </c>
      <c r="B487" s="36"/>
      <c r="C487" s="3"/>
      <c r="D487" s="19"/>
      <c r="E487" s="3"/>
      <c r="F487" s="14"/>
      <c r="G487" s="56"/>
      <c r="H487" s="48" t="e">
        <f ca="1">VLOOKUP(A487,#REF!,1,0)</f>
        <v>#REF!</v>
      </c>
    </row>
    <row r="488" spans="1:8" ht="19.95" customHeight="1" x14ac:dyDescent="0.25">
      <c r="A488" s="6" t="str">
        <f t="shared" ca="1" si="10"/>
        <v>202508</v>
      </c>
      <c r="B488" s="36"/>
      <c r="C488" s="3"/>
      <c r="D488" s="19"/>
      <c r="E488" s="3"/>
      <c r="F488" s="14"/>
      <c r="G488" s="64"/>
      <c r="H488" s="48" t="e">
        <f ca="1">VLOOKUP(A488,#REF!,1,0)</f>
        <v>#REF!</v>
      </c>
    </row>
    <row r="489" spans="1:8" ht="19.95" customHeight="1" x14ac:dyDescent="0.25">
      <c r="A489" s="6" t="str">
        <f t="shared" ca="1" si="10"/>
        <v>202508</v>
      </c>
      <c r="B489" s="36"/>
      <c r="C489" s="3"/>
      <c r="D489" s="19"/>
      <c r="E489" s="3"/>
      <c r="F489" s="14"/>
      <c r="G489" s="64"/>
      <c r="H489" s="48" t="e">
        <f ca="1">VLOOKUP(A489,#REF!,1,0)</f>
        <v>#REF!</v>
      </c>
    </row>
    <row r="490" spans="1:8" ht="19.95" customHeight="1" x14ac:dyDescent="0.25">
      <c r="A490" s="6" t="str">
        <f t="shared" ca="1" si="10"/>
        <v>202508</v>
      </c>
      <c r="B490" s="36"/>
      <c r="C490" s="3"/>
      <c r="D490" s="19"/>
      <c r="E490" s="3"/>
      <c r="F490" s="14"/>
      <c r="G490" s="64"/>
      <c r="H490" s="48" t="e">
        <f ca="1">VLOOKUP(A490,#REF!,1,0)</f>
        <v>#REF!</v>
      </c>
    </row>
    <row r="491" spans="1:8" ht="19.95" customHeight="1" x14ac:dyDescent="0.25">
      <c r="A491" s="6" t="str">
        <f t="shared" ca="1" si="10"/>
        <v>202508</v>
      </c>
      <c r="B491" s="36"/>
      <c r="C491" s="3"/>
      <c r="D491" s="19"/>
      <c r="E491" s="3"/>
      <c r="F491" s="14"/>
      <c r="G491" s="56"/>
      <c r="H491" s="48" t="e">
        <f ca="1">VLOOKUP(A491,#REF!,1,0)</f>
        <v>#REF!</v>
      </c>
    </row>
    <row r="492" spans="1:8" ht="19.95" customHeight="1" x14ac:dyDescent="0.25">
      <c r="A492" s="6" t="str">
        <f t="shared" ca="1" si="10"/>
        <v>202508</v>
      </c>
      <c r="B492" s="36"/>
      <c r="C492" s="3"/>
      <c r="D492" s="19"/>
      <c r="E492" s="3"/>
      <c r="F492" s="14"/>
      <c r="G492" s="64"/>
      <c r="H492" s="48" t="e">
        <f ca="1">VLOOKUP(A492,#REF!,1,0)</f>
        <v>#REF!</v>
      </c>
    </row>
    <row r="493" spans="1:8" ht="19.95" customHeight="1" x14ac:dyDescent="0.25">
      <c r="A493" s="6" t="str">
        <f t="shared" ca="1" si="10"/>
        <v>202508</v>
      </c>
      <c r="B493" s="36"/>
      <c r="C493" s="3"/>
      <c r="D493" s="19"/>
      <c r="E493" s="3"/>
      <c r="F493" s="14"/>
      <c r="G493" s="56"/>
      <c r="H493" s="48" t="e">
        <f ca="1">VLOOKUP(A493,#REF!,1,0)</f>
        <v>#REF!</v>
      </c>
    </row>
    <row r="494" spans="1:8" ht="19.95" customHeight="1" x14ac:dyDescent="0.25">
      <c r="A494" s="6" t="str">
        <f t="shared" ca="1" si="10"/>
        <v>202508</v>
      </c>
      <c r="B494" s="36"/>
      <c r="C494" s="3"/>
      <c r="D494" s="19"/>
      <c r="E494" s="3"/>
      <c r="F494" s="14"/>
      <c r="G494" s="64"/>
      <c r="H494" s="48" t="e">
        <f ca="1">VLOOKUP(A494,#REF!,1,0)</f>
        <v>#REF!</v>
      </c>
    </row>
    <row r="495" spans="1:8" ht="19.95" customHeight="1" thickBot="1" x14ac:dyDescent="0.3">
      <c r="A495" s="6" t="str">
        <f t="shared" ca="1" si="10"/>
        <v>202508</v>
      </c>
      <c r="B495" s="37"/>
      <c r="C495" s="4"/>
      <c r="D495" s="20"/>
      <c r="E495" s="4"/>
      <c r="F495" s="68"/>
      <c r="G495" s="57"/>
      <c r="H495" s="48" t="e">
        <f ca="1">VLOOKUP(A495,#REF!,1,0)</f>
        <v>#REF!</v>
      </c>
    </row>
    <row r="496" spans="1:8" ht="19.95" customHeight="1" x14ac:dyDescent="0.25">
      <c r="G496" s="67"/>
    </row>
    <row r="497" spans="5:7" ht="19.95" customHeight="1" x14ac:dyDescent="0.25">
      <c r="E497" s="62"/>
      <c r="G497" s="65"/>
    </row>
    <row r="498" spans="5:7" ht="19.95" customHeight="1" x14ac:dyDescent="0.25">
      <c r="F498" s="63"/>
      <c r="G498" s="65"/>
    </row>
    <row r="499" spans="5:7" ht="19.95" customHeight="1" x14ac:dyDescent="0.25">
      <c r="G499" s="67"/>
    </row>
    <row r="500" spans="5:7" ht="19.95" customHeight="1" x14ac:dyDescent="0.25">
      <c r="G500" s="65"/>
    </row>
    <row r="501" spans="5:7" ht="19.95" customHeight="1" x14ac:dyDescent="0.25">
      <c r="G501" s="65"/>
    </row>
    <row r="502" spans="5:7" ht="19.95" customHeight="1" x14ac:dyDescent="0.25">
      <c r="G502" s="65"/>
    </row>
    <row r="503" spans="5:7" ht="19.95" customHeight="1" x14ac:dyDescent="0.25">
      <c r="G503" s="65"/>
    </row>
    <row r="504" spans="5:7" ht="19.95" customHeight="1" x14ac:dyDescent="0.25">
      <c r="E504" s="62"/>
      <c r="F504" s="63"/>
      <c r="G504" s="65"/>
    </row>
    <row r="505" spans="5:7" ht="19.95" customHeight="1" x14ac:dyDescent="0.25">
      <c r="G505" s="65"/>
    </row>
    <row r="506" spans="5:7" ht="19.95" customHeight="1" x14ac:dyDescent="0.25">
      <c r="G506" s="65"/>
    </row>
    <row r="507" spans="5:7" ht="19.95" customHeight="1" x14ac:dyDescent="0.25">
      <c r="G507" s="65"/>
    </row>
    <row r="508" spans="5:7" ht="19.95" customHeight="1" x14ac:dyDescent="0.25">
      <c r="G508" s="65"/>
    </row>
    <row r="509" spans="5:7" ht="19.95" customHeight="1" x14ac:dyDescent="0.25">
      <c r="G509" s="65"/>
    </row>
    <row r="510" spans="5:7" ht="19.95" customHeight="1" x14ac:dyDescent="0.25">
      <c r="E510" s="62"/>
      <c r="F510" s="63"/>
      <c r="G510" s="65"/>
    </row>
    <row r="511" spans="5:7" ht="19.95" customHeight="1" x14ac:dyDescent="0.25">
      <c r="E511" s="62"/>
      <c r="F511" s="63"/>
      <c r="G511" s="65"/>
    </row>
    <row r="512" spans="5:7" ht="19.95" customHeight="1" x14ac:dyDescent="0.25">
      <c r="F512" s="63"/>
      <c r="G512" s="65"/>
    </row>
    <row r="513" spans="5:7" ht="19.95" customHeight="1" x14ac:dyDescent="0.25">
      <c r="G513" s="65"/>
    </row>
    <row r="514" spans="5:7" ht="19.95" customHeight="1" x14ac:dyDescent="0.25">
      <c r="G514" s="65"/>
    </row>
    <row r="515" spans="5:7" ht="19.95" customHeight="1" x14ac:dyDescent="0.25">
      <c r="G515" s="65"/>
    </row>
    <row r="516" spans="5:7" ht="19.95" customHeight="1" x14ac:dyDescent="0.25">
      <c r="G516" s="65"/>
    </row>
    <row r="517" spans="5:7" ht="19.95" customHeight="1" x14ac:dyDescent="0.25">
      <c r="F517" s="63"/>
      <c r="G517" s="65"/>
    </row>
    <row r="518" spans="5:7" ht="19.95" customHeight="1" x14ac:dyDescent="0.25">
      <c r="G518" s="67"/>
    </row>
    <row r="519" spans="5:7" ht="19.95" customHeight="1" x14ac:dyDescent="0.25">
      <c r="G519" s="67"/>
    </row>
    <row r="520" spans="5:7" ht="19.95" customHeight="1" x14ac:dyDescent="0.25">
      <c r="G520" s="67"/>
    </row>
    <row r="521" spans="5:7" ht="19.95" customHeight="1" x14ac:dyDescent="0.25">
      <c r="F521" s="63"/>
      <c r="G521" s="65"/>
    </row>
    <row r="522" spans="5:7" ht="19.95" customHeight="1" x14ac:dyDescent="0.25">
      <c r="F522" s="63"/>
      <c r="G522" s="65"/>
    </row>
    <row r="523" spans="5:7" ht="19.95" customHeight="1" x14ac:dyDescent="0.25">
      <c r="G523" s="65"/>
    </row>
    <row r="524" spans="5:7" ht="19.95" customHeight="1" x14ac:dyDescent="0.25">
      <c r="E524" s="62"/>
      <c r="F524" s="63"/>
      <c r="G524" s="65"/>
    </row>
    <row r="525" spans="5:7" ht="19.95" customHeight="1" x14ac:dyDescent="0.25">
      <c r="E525" s="62"/>
      <c r="G525" s="65"/>
    </row>
    <row r="526" spans="5:7" ht="19.95" customHeight="1" x14ac:dyDescent="0.25">
      <c r="G526" s="65"/>
    </row>
    <row r="527" spans="5:7" ht="19.95" customHeight="1" x14ac:dyDescent="0.25">
      <c r="E527" s="62"/>
      <c r="F527" s="63"/>
      <c r="G527" s="65"/>
    </row>
    <row r="528" spans="5:7" ht="19.95" customHeight="1" x14ac:dyDescent="0.25">
      <c r="G528" s="65"/>
    </row>
    <row r="529" spans="5:7" ht="19.95" customHeight="1" x14ac:dyDescent="0.25">
      <c r="G529" s="67"/>
    </row>
    <row r="530" spans="5:7" ht="19.95" customHeight="1" x14ac:dyDescent="0.25">
      <c r="G530" s="65"/>
    </row>
    <row r="531" spans="5:7" ht="19.95" customHeight="1" x14ac:dyDescent="0.25">
      <c r="G531" s="67"/>
    </row>
    <row r="532" spans="5:7" ht="19.95" customHeight="1" x14ac:dyDescent="0.25">
      <c r="G532" s="67"/>
    </row>
    <row r="533" spans="5:7" ht="19.95" customHeight="1" x14ac:dyDescent="0.25">
      <c r="G533" s="67"/>
    </row>
    <row r="534" spans="5:7" ht="19.95" customHeight="1" x14ac:dyDescent="0.25">
      <c r="G534" s="67"/>
    </row>
    <row r="535" spans="5:7" ht="19.95" customHeight="1" x14ac:dyDescent="0.25">
      <c r="G535" s="67"/>
    </row>
    <row r="536" spans="5:7" ht="19.95" customHeight="1" x14ac:dyDescent="0.25">
      <c r="E536" s="62"/>
      <c r="G536" s="65"/>
    </row>
    <row r="537" spans="5:7" ht="19.95" customHeight="1" x14ac:dyDescent="0.25">
      <c r="G537" s="67"/>
    </row>
    <row r="538" spans="5:7" ht="19.95" customHeight="1" x14ac:dyDescent="0.25">
      <c r="F538" s="63"/>
      <c r="G538" s="65"/>
    </row>
    <row r="539" spans="5:7" ht="19.95" customHeight="1" x14ac:dyDescent="0.25">
      <c r="G539" s="67"/>
    </row>
    <row r="540" spans="5:7" ht="19.95" customHeight="1" x14ac:dyDescent="0.25">
      <c r="G540" s="65"/>
    </row>
    <row r="541" spans="5:7" ht="19.95" customHeight="1" x14ac:dyDescent="0.25">
      <c r="G541" s="65"/>
    </row>
    <row r="542" spans="5:7" ht="19.95" customHeight="1" x14ac:dyDescent="0.25">
      <c r="E542" s="62"/>
      <c r="G542" s="65"/>
    </row>
    <row r="543" spans="5:7" ht="19.95" customHeight="1" x14ac:dyDescent="0.25">
      <c r="G543" s="67"/>
    </row>
    <row r="544" spans="5:7" ht="19.95" customHeight="1" x14ac:dyDescent="0.25">
      <c r="F544" s="63"/>
      <c r="G544" s="65"/>
    </row>
    <row r="545" spans="5:7" ht="19.95" customHeight="1" x14ac:dyDescent="0.25">
      <c r="G545" s="65"/>
    </row>
    <row r="546" spans="5:7" ht="19.95" customHeight="1" x14ac:dyDescent="0.25">
      <c r="G546" s="67"/>
    </row>
    <row r="547" spans="5:7" ht="19.95" customHeight="1" x14ac:dyDescent="0.25">
      <c r="G547" s="65"/>
    </row>
    <row r="548" spans="5:7" ht="19.95" customHeight="1" x14ac:dyDescent="0.25">
      <c r="G548" s="67"/>
    </row>
    <row r="549" spans="5:7" ht="19.95" customHeight="1" x14ac:dyDescent="0.25">
      <c r="G549" s="61"/>
    </row>
    <row r="550" spans="5:7" ht="19.95" customHeight="1" x14ac:dyDescent="0.25">
      <c r="G550" s="65"/>
    </row>
    <row r="551" spans="5:7" ht="19.95" customHeight="1" x14ac:dyDescent="0.25">
      <c r="G551" s="65"/>
    </row>
    <row r="552" spans="5:7" ht="19.95" customHeight="1" x14ac:dyDescent="0.25">
      <c r="G552" s="65"/>
    </row>
    <row r="553" spans="5:7" ht="19.95" customHeight="1" x14ac:dyDescent="0.25">
      <c r="G553" s="61"/>
    </row>
    <row r="554" spans="5:7" ht="19.95" customHeight="1" x14ac:dyDescent="0.25">
      <c r="G554" s="67"/>
    </row>
    <row r="555" spans="5:7" ht="19.95" customHeight="1" x14ac:dyDescent="0.25">
      <c r="G555" s="65"/>
    </row>
    <row r="556" spans="5:7" ht="19.95" customHeight="1" x14ac:dyDescent="0.25">
      <c r="G556" s="65"/>
    </row>
    <row r="557" spans="5:7" ht="19.95" customHeight="1" x14ac:dyDescent="0.25">
      <c r="G557" s="65"/>
    </row>
    <row r="558" spans="5:7" ht="19.95" customHeight="1" x14ac:dyDescent="0.25">
      <c r="G558" s="65"/>
    </row>
    <row r="559" spans="5:7" ht="19.95" customHeight="1" x14ac:dyDescent="0.25">
      <c r="E559" s="62"/>
      <c r="F559" s="63"/>
      <c r="G559" s="65"/>
    </row>
    <row r="560" spans="5:7" ht="19.95" customHeight="1" x14ac:dyDescent="0.25">
      <c r="G560" s="67"/>
    </row>
    <row r="561" spans="5:7" ht="19.95" customHeight="1" x14ac:dyDescent="0.25">
      <c r="E561" s="62"/>
      <c r="F561" s="63"/>
      <c r="G561" s="65"/>
    </row>
    <row r="562" spans="5:7" ht="19.95" customHeight="1" x14ac:dyDescent="0.25">
      <c r="G562" s="65"/>
    </row>
    <row r="563" spans="5:7" ht="19.95" customHeight="1" x14ac:dyDescent="0.25">
      <c r="F563" s="63"/>
      <c r="G563" s="65"/>
    </row>
    <row r="564" spans="5:7" ht="19.95" customHeight="1" x14ac:dyDescent="0.25">
      <c r="G564" s="65"/>
    </row>
    <row r="565" spans="5:7" ht="19.95" customHeight="1" x14ac:dyDescent="0.25">
      <c r="G565" s="67"/>
    </row>
    <row r="566" spans="5:7" ht="19.95" customHeight="1" x14ac:dyDescent="0.25">
      <c r="G566" s="65"/>
    </row>
    <row r="567" spans="5:7" ht="19.95" customHeight="1" x14ac:dyDescent="0.25">
      <c r="G567" s="65"/>
    </row>
    <row r="568" spans="5:7" ht="19.95" customHeight="1" x14ac:dyDescent="0.25">
      <c r="G568" s="67"/>
    </row>
    <row r="569" spans="5:7" ht="19.95" customHeight="1" x14ac:dyDescent="0.25">
      <c r="G569" s="65"/>
    </row>
    <row r="570" spans="5:7" ht="19.95" customHeight="1" x14ac:dyDescent="0.25">
      <c r="G570" s="67"/>
    </row>
    <row r="571" spans="5:7" ht="19.95" customHeight="1" x14ac:dyDescent="0.25">
      <c r="F571" s="63"/>
      <c r="G571" s="65"/>
    </row>
    <row r="572" spans="5:7" ht="19.95" customHeight="1" x14ac:dyDescent="0.25">
      <c r="G572" s="65"/>
    </row>
    <row r="573" spans="5:7" ht="19.95" customHeight="1" x14ac:dyDescent="0.25">
      <c r="F573" s="63"/>
      <c r="G573" s="65"/>
    </row>
    <row r="574" spans="5:7" ht="19.95" customHeight="1" x14ac:dyDescent="0.25">
      <c r="G574" s="65"/>
    </row>
    <row r="575" spans="5:7" ht="19.95" customHeight="1" x14ac:dyDescent="0.25">
      <c r="G575" s="65"/>
    </row>
    <row r="576" spans="5:7" ht="19.95" customHeight="1" x14ac:dyDescent="0.25">
      <c r="E576" s="62"/>
      <c r="G576" s="65"/>
    </row>
    <row r="577" spans="5:7" ht="19.95" customHeight="1" x14ac:dyDescent="0.25">
      <c r="G577" s="67"/>
    </row>
    <row r="578" spans="5:7" ht="19.95" customHeight="1" x14ac:dyDescent="0.25">
      <c r="G578" s="65"/>
    </row>
    <row r="579" spans="5:7" ht="19.95" customHeight="1" x14ac:dyDescent="0.25">
      <c r="G579" s="65"/>
    </row>
    <row r="580" spans="5:7" ht="19.95" customHeight="1" x14ac:dyDescent="0.25">
      <c r="G580" s="65"/>
    </row>
    <row r="581" spans="5:7" ht="19.95" customHeight="1" x14ac:dyDescent="0.25">
      <c r="G581" s="67"/>
    </row>
    <row r="582" spans="5:7" ht="19.95" customHeight="1" x14ac:dyDescent="0.25">
      <c r="E582" s="62"/>
      <c r="F582" s="63"/>
      <c r="G582" s="65"/>
    </row>
    <row r="583" spans="5:7" ht="19.95" customHeight="1" x14ac:dyDescent="0.25">
      <c r="G583" s="67"/>
    </row>
    <row r="584" spans="5:7" ht="19.95" customHeight="1" x14ac:dyDescent="0.25">
      <c r="G584" s="65"/>
    </row>
    <row r="585" spans="5:7" ht="19.95" customHeight="1" x14ac:dyDescent="0.25">
      <c r="G585" s="65"/>
    </row>
    <row r="586" spans="5:7" ht="19.95" customHeight="1" x14ac:dyDescent="0.25">
      <c r="G586" s="67"/>
    </row>
    <row r="587" spans="5:7" ht="19.95" customHeight="1" x14ac:dyDescent="0.25">
      <c r="G587" s="67"/>
    </row>
    <row r="588" spans="5:7" ht="19.95" customHeight="1" x14ac:dyDescent="0.25">
      <c r="G588" s="67"/>
    </row>
    <row r="589" spans="5:7" ht="19.95" customHeight="1" x14ac:dyDescent="0.25">
      <c r="G589" s="65"/>
    </row>
    <row r="590" spans="5:7" ht="19.95" customHeight="1" x14ac:dyDescent="0.25">
      <c r="E590" s="62"/>
      <c r="F590" s="63"/>
      <c r="G590" s="65"/>
    </row>
    <row r="591" spans="5:7" ht="19.95" customHeight="1" x14ac:dyDescent="0.25">
      <c r="G591" s="65"/>
    </row>
    <row r="592" spans="5:7" ht="19.95" customHeight="1" x14ac:dyDescent="0.25">
      <c r="E592" s="62"/>
      <c r="F592" s="63"/>
      <c r="G592" s="65"/>
    </row>
    <row r="593" spans="5:7" ht="19.95" customHeight="1" x14ac:dyDescent="0.25">
      <c r="E593" s="62"/>
      <c r="F593" s="63"/>
      <c r="G593" s="65"/>
    </row>
    <row r="594" spans="5:7" ht="19.95" customHeight="1" x14ac:dyDescent="0.25">
      <c r="G594" s="65"/>
    </row>
    <row r="595" spans="5:7" ht="19.95" customHeight="1" x14ac:dyDescent="0.25">
      <c r="G595" s="67"/>
    </row>
    <row r="596" spans="5:7" ht="19.95" customHeight="1" x14ac:dyDescent="0.25">
      <c r="G596" s="65"/>
    </row>
    <row r="597" spans="5:7" ht="19.95" customHeight="1" x14ac:dyDescent="0.25">
      <c r="G597" s="65"/>
    </row>
    <row r="598" spans="5:7" ht="19.95" customHeight="1" x14ac:dyDescent="0.25">
      <c r="F598" s="63"/>
      <c r="G598" s="65"/>
    </row>
    <row r="599" spans="5:7" ht="19.95" customHeight="1" x14ac:dyDescent="0.25">
      <c r="G599" s="65"/>
    </row>
    <row r="600" spans="5:7" ht="19.95" customHeight="1" x14ac:dyDescent="0.25">
      <c r="G600" s="67"/>
    </row>
    <row r="601" spans="5:7" ht="19.95" customHeight="1" x14ac:dyDescent="0.25">
      <c r="G601" s="65"/>
    </row>
    <row r="602" spans="5:7" ht="19.95" customHeight="1" x14ac:dyDescent="0.25">
      <c r="G602" s="67"/>
    </row>
    <row r="603" spans="5:7" ht="19.95" customHeight="1" x14ac:dyDescent="0.25">
      <c r="G603" s="67"/>
    </row>
    <row r="604" spans="5:7" ht="19.95" customHeight="1" x14ac:dyDescent="0.25">
      <c r="G604" s="65"/>
    </row>
    <row r="605" spans="5:7" ht="19.95" customHeight="1" x14ac:dyDescent="0.25">
      <c r="F605" s="63"/>
      <c r="G605" s="65"/>
    </row>
    <row r="606" spans="5:7" ht="19.95" customHeight="1" x14ac:dyDescent="0.25">
      <c r="G606" s="67"/>
    </row>
    <row r="607" spans="5:7" ht="19.95" customHeight="1" x14ac:dyDescent="0.25">
      <c r="G607" s="67"/>
    </row>
    <row r="608" spans="5:7" ht="19.95" customHeight="1" x14ac:dyDescent="0.25">
      <c r="G608" s="65"/>
    </row>
    <row r="609" spans="5:7" ht="19.95" customHeight="1" x14ac:dyDescent="0.25">
      <c r="E609" s="62"/>
      <c r="F609" s="63"/>
      <c r="G609" s="65"/>
    </row>
    <row r="610" spans="5:7" ht="19.95" customHeight="1" x14ac:dyDescent="0.25">
      <c r="G610" s="61"/>
    </row>
    <row r="611" spans="5:7" ht="19.95" customHeight="1" x14ac:dyDescent="0.25">
      <c r="G611" s="67"/>
    </row>
    <row r="612" spans="5:7" ht="19.95" customHeight="1" x14ac:dyDescent="0.25">
      <c r="G612" s="65"/>
    </row>
    <row r="613" spans="5:7" ht="19.95" customHeight="1" x14ac:dyDescent="0.25">
      <c r="G613" s="65"/>
    </row>
    <row r="614" spans="5:7" ht="19.95" customHeight="1" x14ac:dyDescent="0.25">
      <c r="E614" s="62"/>
      <c r="G614" s="65"/>
    </row>
    <row r="615" spans="5:7" ht="19.95" customHeight="1" x14ac:dyDescent="0.25">
      <c r="G615" s="67"/>
    </row>
    <row r="616" spans="5:7" ht="19.95" customHeight="1" x14ac:dyDescent="0.25">
      <c r="G616" s="65"/>
    </row>
    <row r="617" spans="5:7" ht="19.95" customHeight="1" x14ac:dyDescent="0.25">
      <c r="G617" s="67"/>
    </row>
    <row r="618" spans="5:7" ht="19.95" customHeight="1" x14ac:dyDescent="0.25">
      <c r="G618" s="65"/>
    </row>
    <row r="619" spans="5:7" ht="19.95" customHeight="1" x14ac:dyDescent="0.25">
      <c r="G619" s="65"/>
    </row>
    <row r="620" spans="5:7" ht="19.95" customHeight="1" x14ac:dyDescent="0.25">
      <c r="F620" s="63"/>
      <c r="G620" s="65"/>
    </row>
    <row r="621" spans="5:7" ht="19.95" customHeight="1" x14ac:dyDescent="0.25">
      <c r="G621" s="65"/>
    </row>
    <row r="622" spans="5:7" ht="19.95" customHeight="1" x14ac:dyDescent="0.25">
      <c r="F622" s="63"/>
      <c r="G622" s="65"/>
    </row>
    <row r="623" spans="5:7" ht="19.95" customHeight="1" x14ac:dyDescent="0.25">
      <c r="E623" s="62"/>
      <c r="F623" s="63"/>
      <c r="G623" s="65"/>
    </row>
    <row r="624" spans="5:7" ht="19.95" customHeight="1" x14ac:dyDescent="0.25">
      <c r="G624" s="67"/>
    </row>
    <row r="625" spans="5:7" ht="19.95" customHeight="1" x14ac:dyDescent="0.25">
      <c r="E625" s="62"/>
      <c r="G625" s="65"/>
    </row>
    <row r="626" spans="5:7" ht="19.95" customHeight="1" x14ac:dyDescent="0.25">
      <c r="F626" s="63"/>
      <c r="G626" s="65"/>
    </row>
    <row r="627" spans="5:7" ht="19.95" customHeight="1" x14ac:dyDescent="0.25">
      <c r="G627" s="67"/>
    </row>
    <row r="628" spans="5:7" ht="19.95" customHeight="1" x14ac:dyDescent="0.25">
      <c r="G628" s="65"/>
    </row>
    <row r="629" spans="5:7" ht="19.95" customHeight="1" x14ac:dyDescent="0.25">
      <c r="F629" s="63"/>
      <c r="G629" s="65"/>
    </row>
    <row r="630" spans="5:7" ht="19.95" customHeight="1" x14ac:dyDescent="0.25">
      <c r="G630" s="67"/>
    </row>
    <row r="631" spans="5:7" ht="19.95" customHeight="1" x14ac:dyDescent="0.25">
      <c r="G631" s="65"/>
    </row>
    <row r="632" spans="5:7" ht="19.95" customHeight="1" x14ac:dyDescent="0.25">
      <c r="F632" s="63"/>
      <c r="G632" s="65"/>
    </row>
    <row r="633" spans="5:7" ht="19.95" customHeight="1" x14ac:dyDescent="0.25">
      <c r="G633" s="67"/>
    </row>
    <row r="634" spans="5:7" ht="19.95" customHeight="1" x14ac:dyDescent="0.25">
      <c r="G634" s="67"/>
    </row>
    <row r="635" spans="5:7" ht="19.95" customHeight="1" x14ac:dyDescent="0.25">
      <c r="G635" s="65"/>
    </row>
    <row r="636" spans="5:7" ht="19.95" customHeight="1" x14ac:dyDescent="0.25">
      <c r="G636" s="65"/>
    </row>
    <row r="637" spans="5:7" ht="19.95" customHeight="1" x14ac:dyDescent="0.25">
      <c r="G637" s="65"/>
    </row>
    <row r="638" spans="5:7" ht="19.95" customHeight="1" x14ac:dyDescent="0.25">
      <c r="G638" s="61"/>
    </row>
    <row r="639" spans="5:7" ht="19.95" customHeight="1" x14ac:dyDescent="0.25">
      <c r="G639" s="65"/>
    </row>
    <row r="640" spans="5:7" ht="19.95" customHeight="1" x14ac:dyDescent="0.25">
      <c r="G640" s="65"/>
    </row>
    <row r="641" spans="5:7" ht="19.95" customHeight="1" x14ac:dyDescent="0.25">
      <c r="G641" s="67"/>
    </row>
    <row r="642" spans="5:7" ht="19.95" customHeight="1" x14ac:dyDescent="0.25">
      <c r="G642" s="67"/>
    </row>
    <row r="643" spans="5:7" ht="19.95" customHeight="1" x14ac:dyDescent="0.25">
      <c r="E643" s="62"/>
      <c r="F643" s="63"/>
      <c r="G643" s="65"/>
    </row>
    <row r="644" spans="5:7" ht="19.95" customHeight="1" x14ac:dyDescent="0.25">
      <c r="G644" s="67"/>
    </row>
    <row r="645" spans="5:7" ht="19.95" customHeight="1" x14ac:dyDescent="0.25">
      <c r="G645" s="67"/>
    </row>
    <row r="646" spans="5:7" ht="19.95" customHeight="1" x14ac:dyDescent="0.25">
      <c r="G646" s="65"/>
    </row>
    <row r="647" spans="5:7" ht="19.95" customHeight="1" x14ac:dyDescent="0.25">
      <c r="G647" s="65"/>
    </row>
    <row r="648" spans="5:7" ht="19.95" customHeight="1" x14ac:dyDescent="0.25">
      <c r="E648" s="62"/>
      <c r="F648" s="63"/>
      <c r="G648" s="65"/>
    </row>
    <row r="649" spans="5:7" ht="19.95" customHeight="1" x14ac:dyDescent="0.25">
      <c r="G649" s="65"/>
    </row>
    <row r="650" spans="5:7" ht="19.95" customHeight="1" x14ac:dyDescent="0.25">
      <c r="G650" s="65"/>
    </row>
    <row r="651" spans="5:7" ht="19.95" customHeight="1" x14ac:dyDescent="0.25">
      <c r="G651" s="65"/>
    </row>
    <row r="652" spans="5:7" ht="19.95" customHeight="1" x14ac:dyDescent="0.25">
      <c r="G652" s="67"/>
    </row>
    <row r="653" spans="5:7" ht="19.95" customHeight="1" x14ac:dyDescent="0.25">
      <c r="G653" s="65"/>
    </row>
    <row r="654" spans="5:7" ht="19.95" customHeight="1" x14ac:dyDescent="0.25">
      <c r="G654" s="67"/>
    </row>
    <row r="655" spans="5:7" ht="19.95" customHeight="1" x14ac:dyDescent="0.25">
      <c r="G655" s="67"/>
    </row>
    <row r="656" spans="5:7" ht="19.95" customHeight="1" x14ac:dyDescent="0.25">
      <c r="G656" s="67"/>
    </row>
    <row r="657" spans="5:7" ht="19.95" customHeight="1" x14ac:dyDescent="0.25">
      <c r="G657" s="65"/>
    </row>
    <row r="658" spans="5:7" ht="19.95" customHeight="1" x14ac:dyDescent="0.25">
      <c r="G658" s="65"/>
    </row>
    <row r="659" spans="5:7" ht="19.95" customHeight="1" x14ac:dyDescent="0.25">
      <c r="E659" s="62"/>
      <c r="F659" s="63"/>
      <c r="G659" s="65"/>
    </row>
    <row r="660" spans="5:7" ht="19.95" customHeight="1" x14ac:dyDescent="0.25">
      <c r="G660" s="67"/>
    </row>
    <row r="661" spans="5:7" ht="19.95" customHeight="1" x14ac:dyDescent="0.25">
      <c r="G661" s="67"/>
    </row>
    <row r="662" spans="5:7" ht="19.95" customHeight="1" x14ac:dyDescent="0.25">
      <c r="G662" s="67"/>
    </row>
    <row r="663" spans="5:7" ht="19.95" customHeight="1" x14ac:dyDescent="0.25">
      <c r="G663" s="65"/>
    </row>
    <row r="664" spans="5:7" ht="19.95" customHeight="1" x14ac:dyDescent="0.25">
      <c r="E664" s="62"/>
      <c r="F664" s="63"/>
      <c r="G664" s="65"/>
    </row>
    <row r="665" spans="5:7" ht="19.95" customHeight="1" x14ac:dyDescent="0.25">
      <c r="G665" s="65"/>
    </row>
    <row r="666" spans="5:7" ht="19.95" customHeight="1" x14ac:dyDescent="0.25">
      <c r="G666" s="65"/>
    </row>
    <row r="667" spans="5:7" ht="19.95" customHeight="1" x14ac:dyDescent="0.25">
      <c r="G667" s="65"/>
    </row>
    <row r="668" spans="5:7" ht="19.95" customHeight="1" x14ac:dyDescent="0.25">
      <c r="G668" s="65"/>
    </row>
    <row r="669" spans="5:7" ht="19.95" customHeight="1" x14ac:dyDescent="0.25">
      <c r="G669" s="65"/>
    </row>
    <row r="670" spans="5:7" ht="19.95" customHeight="1" x14ac:dyDescent="0.25">
      <c r="G670" s="61"/>
    </row>
    <row r="671" spans="5:7" ht="19.95" customHeight="1" x14ac:dyDescent="0.25">
      <c r="G671" s="65"/>
    </row>
    <row r="672" spans="5:7" ht="19.95" customHeight="1" x14ac:dyDescent="0.25">
      <c r="G672" s="61"/>
    </row>
    <row r="673" spans="5:7" ht="19.95" customHeight="1" x14ac:dyDescent="0.25">
      <c r="E673" s="62"/>
      <c r="F673" s="63"/>
      <c r="G673" s="65"/>
    </row>
    <row r="674" spans="5:7" ht="19.95" customHeight="1" x14ac:dyDescent="0.25">
      <c r="G674" s="65"/>
    </row>
    <row r="675" spans="5:7" ht="19.95" customHeight="1" x14ac:dyDescent="0.25">
      <c r="G675" s="65"/>
    </row>
    <row r="676" spans="5:7" ht="19.95" customHeight="1" x14ac:dyDescent="0.25">
      <c r="G676" s="67"/>
    </row>
    <row r="677" spans="5:7" ht="19.95" customHeight="1" x14ac:dyDescent="0.25">
      <c r="F677" s="63"/>
      <c r="G677" s="65"/>
    </row>
    <row r="678" spans="5:7" ht="19.95" customHeight="1" x14ac:dyDescent="0.25">
      <c r="G678" s="65"/>
    </row>
    <row r="679" spans="5:7" ht="19.95" customHeight="1" x14ac:dyDescent="0.25">
      <c r="G679" s="65"/>
    </row>
    <row r="680" spans="5:7" ht="19.95" customHeight="1" x14ac:dyDescent="0.25">
      <c r="G680" s="65"/>
    </row>
    <row r="681" spans="5:7" ht="19.95" customHeight="1" x14ac:dyDescent="0.25">
      <c r="G681" s="67"/>
    </row>
    <row r="682" spans="5:7" ht="19.95" customHeight="1" x14ac:dyDescent="0.25">
      <c r="G682" s="65"/>
    </row>
    <row r="683" spans="5:7" ht="19.95" customHeight="1" x14ac:dyDescent="0.25">
      <c r="F683" s="63"/>
      <c r="G683" s="65"/>
    </row>
    <row r="684" spans="5:7" ht="19.95" customHeight="1" x14ac:dyDescent="0.25">
      <c r="G684" s="67"/>
    </row>
    <row r="685" spans="5:7" ht="19.95" customHeight="1" x14ac:dyDescent="0.25">
      <c r="G685" s="65"/>
    </row>
    <row r="686" spans="5:7" ht="19.95" customHeight="1" x14ac:dyDescent="0.25">
      <c r="G686" s="65"/>
    </row>
    <row r="687" spans="5:7" ht="19.95" customHeight="1" x14ac:dyDescent="0.25">
      <c r="E687" s="62"/>
      <c r="F687" s="63"/>
      <c r="G687" s="65"/>
    </row>
    <row r="688" spans="5:7" ht="19.95" customHeight="1" x14ac:dyDescent="0.25">
      <c r="G688" s="67"/>
    </row>
    <row r="689" spans="5:7" ht="19.95" customHeight="1" x14ac:dyDescent="0.25">
      <c r="G689" s="61"/>
    </row>
    <row r="690" spans="5:7" ht="19.95" customHeight="1" x14ac:dyDescent="0.25">
      <c r="G690" s="67"/>
    </row>
    <row r="691" spans="5:7" ht="19.95" customHeight="1" x14ac:dyDescent="0.25">
      <c r="E691" s="62"/>
      <c r="F691" s="63"/>
      <c r="G691" s="65"/>
    </row>
    <row r="692" spans="5:7" ht="19.95" customHeight="1" x14ac:dyDescent="0.25">
      <c r="G692" s="65"/>
    </row>
    <row r="693" spans="5:7" ht="19.95" customHeight="1" x14ac:dyDescent="0.25">
      <c r="G693" s="67"/>
    </row>
    <row r="694" spans="5:7" ht="19.95" customHeight="1" x14ac:dyDescent="0.25">
      <c r="G694" s="61"/>
    </row>
    <row r="695" spans="5:7" ht="19.95" customHeight="1" x14ac:dyDescent="0.25">
      <c r="G695" s="65"/>
    </row>
    <row r="696" spans="5:7" ht="19.95" customHeight="1" x14ac:dyDescent="0.25">
      <c r="G696" s="65"/>
    </row>
    <row r="697" spans="5:7" ht="19.95" customHeight="1" x14ac:dyDescent="0.25">
      <c r="G697" s="65"/>
    </row>
    <row r="698" spans="5:7" ht="19.95" customHeight="1" x14ac:dyDescent="0.25">
      <c r="G698" s="61"/>
    </row>
    <row r="699" spans="5:7" ht="19.95" customHeight="1" x14ac:dyDescent="0.25">
      <c r="G699" s="65"/>
    </row>
    <row r="700" spans="5:7" ht="19.95" customHeight="1" x14ac:dyDescent="0.25">
      <c r="G700" s="65"/>
    </row>
    <row r="701" spans="5:7" ht="19.95" customHeight="1" x14ac:dyDescent="0.25">
      <c r="G701" s="67"/>
    </row>
    <row r="702" spans="5:7" ht="19.95" customHeight="1" x14ac:dyDescent="0.25">
      <c r="G702" s="67"/>
    </row>
    <row r="703" spans="5:7" ht="19.95" customHeight="1" x14ac:dyDescent="0.25">
      <c r="G703" s="67"/>
    </row>
    <row r="704" spans="5:7" ht="19.95" customHeight="1" x14ac:dyDescent="0.25">
      <c r="G704" s="65"/>
    </row>
    <row r="705" spans="5:7" ht="19.95" customHeight="1" x14ac:dyDescent="0.25">
      <c r="G705" s="65"/>
    </row>
    <row r="706" spans="5:7" ht="19.95" customHeight="1" x14ac:dyDescent="0.25">
      <c r="E706" s="62"/>
      <c r="F706" s="63"/>
      <c r="G706" s="65"/>
    </row>
    <row r="707" spans="5:7" ht="19.95" customHeight="1" x14ac:dyDescent="0.25">
      <c r="F707" s="63"/>
      <c r="G707" s="65"/>
    </row>
    <row r="708" spans="5:7" ht="19.95" customHeight="1" x14ac:dyDescent="0.25">
      <c r="G708" s="65"/>
    </row>
    <row r="709" spans="5:7" ht="19.95" customHeight="1" x14ac:dyDescent="0.25">
      <c r="G709" s="67"/>
    </row>
    <row r="710" spans="5:7" ht="19.95" customHeight="1" x14ac:dyDescent="0.25">
      <c r="G710" s="65"/>
    </row>
    <row r="711" spans="5:7" ht="19.95" customHeight="1" x14ac:dyDescent="0.25">
      <c r="G711" s="65"/>
    </row>
    <row r="712" spans="5:7" ht="19.95" customHeight="1" x14ac:dyDescent="0.25">
      <c r="G712" s="65"/>
    </row>
    <row r="713" spans="5:7" ht="19.95" customHeight="1" x14ac:dyDescent="0.25">
      <c r="G713" s="65"/>
    </row>
    <row r="714" spans="5:7" ht="19.95" customHeight="1" x14ac:dyDescent="0.25">
      <c r="G714" s="67"/>
    </row>
    <row r="715" spans="5:7" ht="19.95" customHeight="1" x14ac:dyDescent="0.25">
      <c r="E715" s="62"/>
      <c r="F715" s="63"/>
      <c r="G715" s="65"/>
    </row>
    <row r="716" spans="5:7" ht="19.95" customHeight="1" x14ac:dyDescent="0.25">
      <c r="F716" s="63"/>
      <c r="G716" s="65"/>
    </row>
    <row r="717" spans="5:7" ht="19.95" customHeight="1" x14ac:dyDescent="0.25">
      <c r="G717" s="65"/>
    </row>
    <row r="718" spans="5:7" ht="19.95" customHeight="1" x14ac:dyDescent="0.25">
      <c r="G718" s="67"/>
    </row>
    <row r="719" spans="5:7" ht="19.95" customHeight="1" x14ac:dyDescent="0.25">
      <c r="G719" s="67"/>
    </row>
    <row r="720" spans="5:7" ht="19.95" customHeight="1" x14ac:dyDescent="0.25">
      <c r="G720" s="65"/>
    </row>
    <row r="721" spans="5:7" ht="19.95" customHeight="1" x14ac:dyDescent="0.25">
      <c r="G721" s="65"/>
    </row>
    <row r="722" spans="5:7" ht="19.95" customHeight="1" x14ac:dyDescent="0.25">
      <c r="G722" s="67"/>
    </row>
    <row r="723" spans="5:7" ht="19.95" customHeight="1" x14ac:dyDescent="0.25">
      <c r="G723" s="65"/>
    </row>
    <row r="724" spans="5:7" ht="19.95" customHeight="1" x14ac:dyDescent="0.25">
      <c r="G724" s="65"/>
    </row>
    <row r="725" spans="5:7" ht="19.95" customHeight="1" x14ac:dyDescent="0.25">
      <c r="G725" s="65"/>
    </row>
    <row r="726" spans="5:7" ht="19.95" customHeight="1" x14ac:dyDescent="0.25">
      <c r="G726" s="65"/>
    </row>
    <row r="727" spans="5:7" ht="19.95" customHeight="1" x14ac:dyDescent="0.25">
      <c r="F727" s="63"/>
      <c r="G727" s="65"/>
    </row>
    <row r="728" spans="5:7" ht="19.95" customHeight="1" x14ac:dyDescent="0.25">
      <c r="G728" s="67"/>
    </row>
    <row r="729" spans="5:7" ht="19.95" customHeight="1" x14ac:dyDescent="0.25">
      <c r="E729" s="62"/>
      <c r="G729" s="65"/>
    </row>
    <row r="730" spans="5:7" ht="19.95" customHeight="1" x14ac:dyDescent="0.25">
      <c r="G730" s="65"/>
    </row>
    <row r="731" spans="5:7" ht="19.95" customHeight="1" x14ac:dyDescent="0.25">
      <c r="F731" s="63"/>
      <c r="G731" s="65"/>
    </row>
    <row r="732" spans="5:7" ht="19.95" customHeight="1" x14ac:dyDescent="0.25">
      <c r="F732" s="63"/>
      <c r="G732" s="65"/>
    </row>
    <row r="733" spans="5:7" ht="19.95" customHeight="1" x14ac:dyDescent="0.25">
      <c r="E733" s="62"/>
      <c r="G733" s="65"/>
    </row>
    <row r="734" spans="5:7" ht="19.95" customHeight="1" x14ac:dyDescent="0.25">
      <c r="G734" s="67"/>
    </row>
    <row r="735" spans="5:7" ht="19.95" customHeight="1" x14ac:dyDescent="0.25">
      <c r="E735" s="62"/>
      <c r="G735" s="65"/>
    </row>
    <row r="736" spans="5:7" ht="19.95" customHeight="1" x14ac:dyDescent="0.25">
      <c r="G736" s="65"/>
    </row>
    <row r="737" spans="7:7" ht="19.95" customHeight="1" x14ac:dyDescent="0.25">
      <c r="G737" s="61"/>
    </row>
    <row r="738" spans="7:7" ht="19.95" customHeight="1" x14ac:dyDescent="0.25">
      <c r="G738" s="61"/>
    </row>
    <row r="739" spans="7:7" ht="19.95" customHeight="1" x14ac:dyDescent="0.25">
      <c r="G739" s="61"/>
    </row>
    <row r="740" spans="7:7" ht="19.95" customHeight="1" x14ac:dyDescent="0.25">
      <c r="G740" s="61"/>
    </row>
    <row r="741" spans="7:7" ht="19.95" customHeight="1" x14ac:dyDescent="0.25">
      <c r="G741" s="61"/>
    </row>
    <row r="742" spans="7:7" ht="19.95" customHeight="1" x14ac:dyDescent="0.25">
      <c r="G742" s="61"/>
    </row>
    <row r="743" spans="7:7" ht="19.95" customHeight="1" x14ac:dyDescent="0.25">
      <c r="G743" s="61"/>
    </row>
    <row r="744" spans="7:7" ht="19.95" customHeight="1" x14ac:dyDescent="0.25">
      <c r="G744" s="61"/>
    </row>
    <row r="745" spans="7:7" ht="19.95" customHeight="1" x14ac:dyDescent="0.25">
      <c r="G745" s="61"/>
    </row>
    <row r="746" spans="7:7" ht="19.95" customHeight="1" x14ac:dyDescent="0.25">
      <c r="G746" s="61"/>
    </row>
    <row r="747" spans="7:7" ht="19.95" customHeight="1" x14ac:dyDescent="0.25">
      <c r="G747" s="61"/>
    </row>
    <row r="748" spans="7:7" ht="19.95" customHeight="1" x14ac:dyDescent="0.25">
      <c r="G748" s="61"/>
    </row>
    <row r="749" spans="7:7" ht="19.95" customHeight="1" x14ac:dyDescent="0.25">
      <c r="G749" s="61"/>
    </row>
    <row r="750" spans="7:7" ht="19.95" customHeight="1" x14ac:dyDescent="0.25">
      <c r="G750" s="61"/>
    </row>
    <row r="751" spans="7:7" ht="19.95" customHeight="1" x14ac:dyDescent="0.25">
      <c r="G751" s="61"/>
    </row>
    <row r="752" spans="7:7" ht="19.95" customHeight="1" x14ac:dyDescent="0.25">
      <c r="G752" s="61"/>
    </row>
    <row r="753" spans="7:7" ht="19.95" customHeight="1" x14ac:dyDescent="0.25">
      <c r="G753" s="61"/>
    </row>
    <row r="754" spans="7:7" ht="19.95" customHeight="1" x14ac:dyDescent="0.25">
      <c r="G754" s="61"/>
    </row>
    <row r="755" spans="7:7" ht="19.95" customHeight="1" x14ac:dyDescent="0.25">
      <c r="G755" s="61"/>
    </row>
    <row r="756" spans="7:7" ht="19.95" customHeight="1" x14ac:dyDescent="0.25">
      <c r="G756" s="61"/>
    </row>
    <row r="757" spans="7:7" ht="19.95" customHeight="1" x14ac:dyDescent="0.25">
      <c r="G757" s="61"/>
    </row>
    <row r="758" spans="7:7" ht="19.95" customHeight="1" x14ac:dyDescent="0.25">
      <c r="G758" s="61"/>
    </row>
    <row r="759" spans="7:7" ht="19.95" customHeight="1" x14ac:dyDescent="0.25">
      <c r="G759" s="61"/>
    </row>
    <row r="760" spans="7:7" ht="19.95" customHeight="1" x14ac:dyDescent="0.25">
      <c r="G760" s="61"/>
    </row>
    <row r="761" spans="7:7" ht="19.95" customHeight="1" x14ac:dyDescent="0.25">
      <c r="G761" s="61"/>
    </row>
    <row r="762" spans="7:7" ht="19.95" customHeight="1" x14ac:dyDescent="0.25">
      <c r="G762" s="61"/>
    </row>
    <row r="763" spans="7:7" ht="19.95" customHeight="1" x14ac:dyDescent="0.25">
      <c r="G763" s="61"/>
    </row>
    <row r="764" spans="7:7" ht="19.95" customHeight="1" x14ac:dyDescent="0.25">
      <c r="G764" s="61"/>
    </row>
    <row r="765" spans="7:7" ht="19.95" customHeight="1" x14ac:dyDescent="0.25">
      <c r="G765" s="61"/>
    </row>
    <row r="766" spans="7:7" ht="19.95" customHeight="1" x14ac:dyDescent="0.25">
      <c r="G766" s="61"/>
    </row>
    <row r="767" spans="7:7" ht="19.95" customHeight="1" x14ac:dyDescent="0.25">
      <c r="G767" s="61"/>
    </row>
    <row r="768" spans="7:7" ht="19.95" customHeight="1" x14ac:dyDescent="0.25">
      <c r="G768" s="61"/>
    </row>
    <row r="769" spans="7:7" ht="19.95" customHeight="1" x14ac:dyDescent="0.25">
      <c r="G769" s="61"/>
    </row>
    <row r="770" spans="7:7" ht="19.95" customHeight="1" x14ac:dyDescent="0.25">
      <c r="G770" s="61"/>
    </row>
    <row r="771" spans="7:7" ht="19.95" customHeight="1" x14ac:dyDescent="0.25">
      <c r="G771" s="61"/>
    </row>
    <row r="772" spans="7:7" ht="19.95" customHeight="1" x14ac:dyDescent="0.25">
      <c r="G772" s="61"/>
    </row>
    <row r="773" spans="7:7" ht="19.95" customHeight="1" x14ac:dyDescent="0.25">
      <c r="G773" s="61"/>
    </row>
    <row r="774" spans="7:7" ht="19.95" customHeight="1" x14ac:dyDescent="0.25">
      <c r="G774" s="61"/>
    </row>
    <row r="775" spans="7:7" ht="19.95" customHeight="1" x14ac:dyDescent="0.25">
      <c r="G775" s="61"/>
    </row>
    <row r="776" spans="7:7" ht="19.95" customHeight="1" x14ac:dyDescent="0.25">
      <c r="G776" s="61"/>
    </row>
    <row r="777" spans="7:7" ht="19.95" customHeight="1" x14ac:dyDescent="0.25">
      <c r="G777" s="61"/>
    </row>
    <row r="778" spans="7:7" ht="19.95" customHeight="1" x14ac:dyDescent="0.25">
      <c r="G778" s="61"/>
    </row>
    <row r="779" spans="7:7" ht="19.95" customHeight="1" x14ac:dyDescent="0.25">
      <c r="G779" s="61"/>
    </row>
    <row r="780" spans="7:7" ht="19.95" customHeight="1" x14ac:dyDescent="0.25">
      <c r="G780" s="61"/>
    </row>
    <row r="781" spans="7:7" ht="19.95" customHeight="1" x14ac:dyDescent="0.25">
      <c r="G781" s="61"/>
    </row>
    <row r="782" spans="7:7" ht="19.95" customHeight="1" x14ac:dyDescent="0.25">
      <c r="G782" s="61"/>
    </row>
    <row r="783" spans="7:7" ht="19.95" customHeight="1" x14ac:dyDescent="0.25">
      <c r="G783" s="61"/>
    </row>
    <row r="784" spans="7:7" ht="19.95" customHeight="1" x14ac:dyDescent="0.25">
      <c r="G784" s="61"/>
    </row>
    <row r="785" spans="7:7" ht="19.95" customHeight="1" x14ac:dyDescent="0.25">
      <c r="G785" s="61"/>
    </row>
    <row r="786" spans="7:7" ht="19.95" customHeight="1" x14ac:dyDescent="0.25">
      <c r="G786" s="61"/>
    </row>
    <row r="787" spans="7:7" ht="19.95" customHeight="1" x14ac:dyDescent="0.25">
      <c r="G787" s="61"/>
    </row>
    <row r="788" spans="7:7" ht="19.95" customHeight="1" x14ac:dyDescent="0.25">
      <c r="G788" s="61"/>
    </row>
    <row r="789" spans="7:7" ht="19.95" customHeight="1" x14ac:dyDescent="0.25">
      <c r="G789" s="61"/>
    </row>
    <row r="790" spans="7:7" ht="19.95" customHeight="1" x14ac:dyDescent="0.25">
      <c r="G790" s="61"/>
    </row>
    <row r="791" spans="7:7" ht="19.95" customHeight="1" x14ac:dyDescent="0.25">
      <c r="G791" s="61"/>
    </row>
    <row r="792" spans="7:7" ht="19.95" customHeight="1" x14ac:dyDescent="0.25">
      <c r="G792" s="61"/>
    </row>
    <row r="793" spans="7:7" ht="19.95" customHeight="1" x14ac:dyDescent="0.25">
      <c r="G793" s="61"/>
    </row>
    <row r="794" spans="7:7" ht="19.95" customHeight="1" x14ac:dyDescent="0.25">
      <c r="G794" s="61"/>
    </row>
    <row r="795" spans="7:7" ht="19.95" customHeight="1" x14ac:dyDescent="0.25">
      <c r="G795" s="61"/>
    </row>
    <row r="796" spans="7:7" ht="19.95" customHeight="1" x14ac:dyDescent="0.25">
      <c r="G796" s="61"/>
    </row>
    <row r="797" spans="7:7" ht="19.95" customHeight="1" x14ac:dyDescent="0.25">
      <c r="G797" s="61"/>
    </row>
    <row r="798" spans="7:7" ht="19.95" customHeight="1" x14ac:dyDescent="0.25">
      <c r="G798" s="61"/>
    </row>
    <row r="799" spans="7:7" ht="19.95" customHeight="1" x14ac:dyDescent="0.25">
      <c r="G799" s="61"/>
    </row>
    <row r="800" spans="7:7" ht="19.95" customHeight="1" x14ac:dyDescent="0.25">
      <c r="G800" s="61"/>
    </row>
    <row r="801" spans="7:7" ht="19.95" customHeight="1" x14ac:dyDescent="0.25">
      <c r="G801" s="61"/>
    </row>
    <row r="802" spans="7:7" ht="19.95" customHeight="1" x14ac:dyDescent="0.25">
      <c r="G802" s="61"/>
    </row>
    <row r="803" spans="7:7" ht="19.95" customHeight="1" x14ac:dyDescent="0.25">
      <c r="G803" s="61"/>
    </row>
    <row r="804" spans="7:7" ht="19.95" customHeight="1" x14ac:dyDescent="0.25">
      <c r="G804" s="61"/>
    </row>
    <row r="805" spans="7:7" ht="19.95" customHeight="1" x14ac:dyDescent="0.25">
      <c r="G805" s="61"/>
    </row>
    <row r="806" spans="7:7" ht="19.95" customHeight="1" x14ac:dyDescent="0.25">
      <c r="G806" s="61"/>
    </row>
    <row r="807" spans="7:7" ht="19.95" customHeight="1" x14ac:dyDescent="0.25">
      <c r="G807" s="61"/>
    </row>
    <row r="808" spans="7:7" ht="19.95" customHeight="1" x14ac:dyDescent="0.25">
      <c r="G808" s="61"/>
    </row>
    <row r="809" spans="7:7" ht="19.95" customHeight="1" x14ac:dyDescent="0.25">
      <c r="G809" s="61"/>
    </row>
    <row r="810" spans="7:7" ht="19.95" customHeight="1" x14ac:dyDescent="0.25">
      <c r="G810" s="61"/>
    </row>
    <row r="811" spans="7:7" ht="19.95" customHeight="1" x14ac:dyDescent="0.25">
      <c r="G811" s="61"/>
    </row>
    <row r="812" spans="7:7" ht="19.95" customHeight="1" x14ac:dyDescent="0.25">
      <c r="G812" s="61"/>
    </row>
    <row r="813" spans="7:7" ht="19.95" customHeight="1" x14ac:dyDescent="0.25">
      <c r="G813" s="61"/>
    </row>
    <row r="814" spans="7:7" ht="19.95" customHeight="1" x14ac:dyDescent="0.25">
      <c r="G814" s="61"/>
    </row>
    <row r="815" spans="7:7" ht="19.95" customHeight="1" x14ac:dyDescent="0.25">
      <c r="G815" s="61"/>
    </row>
    <row r="816" spans="7:7" ht="19.95" customHeight="1" x14ac:dyDescent="0.25">
      <c r="G816" s="61"/>
    </row>
    <row r="817" spans="7:7" ht="19.95" customHeight="1" x14ac:dyDescent="0.25">
      <c r="G817" s="61"/>
    </row>
    <row r="818" spans="7:7" ht="19.95" customHeight="1" x14ac:dyDescent="0.25">
      <c r="G818" s="61"/>
    </row>
    <row r="819" spans="7:7" ht="19.95" customHeight="1" x14ac:dyDescent="0.25">
      <c r="G819" s="61"/>
    </row>
    <row r="820" spans="7:7" ht="19.95" customHeight="1" x14ac:dyDescent="0.25">
      <c r="G820" s="61"/>
    </row>
    <row r="821" spans="7:7" ht="19.95" customHeight="1" x14ac:dyDescent="0.25">
      <c r="G821" s="61"/>
    </row>
    <row r="822" spans="7:7" ht="19.95" customHeight="1" x14ac:dyDescent="0.25">
      <c r="G822" s="61"/>
    </row>
    <row r="823" spans="7:7" ht="19.95" customHeight="1" x14ac:dyDescent="0.25">
      <c r="G823" s="61"/>
    </row>
    <row r="824" spans="7:7" ht="19.95" customHeight="1" x14ac:dyDescent="0.25">
      <c r="G824" s="61"/>
    </row>
    <row r="825" spans="7:7" ht="19.95" customHeight="1" x14ac:dyDescent="0.25">
      <c r="G825" s="61"/>
    </row>
    <row r="826" spans="7:7" ht="19.95" customHeight="1" x14ac:dyDescent="0.25">
      <c r="G826" s="61"/>
    </row>
    <row r="827" spans="7:7" ht="19.95" customHeight="1" x14ac:dyDescent="0.25">
      <c r="G827" s="61"/>
    </row>
    <row r="828" spans="7:7" ht="19.95" customHeight="1" x14ac:dyDescent="0.25">
      <c r="G828" s="61"/>
    </row>
    <row r="829" spans="7:7" ht="19.95" customHeight="1" x14ac:dyDescent="0.25">
      <c r="G829" s="61"/>
    </row>
    <row r="830" spans="7:7" ht="19.95" customHeight="1" x14ac:dyDescent="0.25">
      <c r="G830" s="61"/>
    </row>
    <row r="831" spans="7:7" ht="19.95" customHeight="1" x14ac:dyDescent="0.25">
      <c r="G831" s="61"/>
    </row>
    <row r="832" spans="7:7" ht="19.95" customHeight="1" x14ac:dyDescent="0.25">
      <c r="G832" s="61"/>
    </row>
    <row r="833" spans="7:7" ht="19.95" customHeight="1" x14ac:dyDescent="0.25">
      <c r="G833" s="61"/>
    </row>
    <row r="834" spans="7:7" ht="19.95" customHeight="1" x14ac:dyDescent="0.25">
      <c r="G834" s="61"/>
    </row>
    <row r="835" spans="7:7" ht="19.95" customHeight="1" x14ac:dyDescent="0.25">
      <c r="G835" s="61"/>
    </row>
    <row r="836" spans="7:7" ht="19.95" customHeight="1" x14ac:dyDescent="0.25">
      <c r="G836" s="61"/>
    </row>
    <row r="837" spans="7:7" ht="19.95" customHeight="1" x14ac:dyDescent="0.25">
      <c r="G837" s="61"/>
    </row>
    <row r="838" spans="7:7" ht="19.95" customHeight="1" x14ac:dyDescent="0.25">
      <c r="G838" s="61"/>
    </row>
    <row r="839" spans="7:7" ht="19.95" customHeight="1" x14ac:dyDescent="0.25">
      <c r="G839" s="61"/>
    </row>
    <row r="840" spans="7:7" ht="19.95" customHeight="1" x14ac:dyDescent="0.25">
      <c r="G840" s="61"/>
    </row>
    <row r="841" spans="7:7" ht="19.95" customHeight="1" x14ac:dyDescent="0.25">
      <c r="G841" s="61"/>
    </row>
    <row r="842" spans="7:7" ht="19.95" customHeight="1" x14ac:dyDescent="0.25">
      <c r="G842" s="61"/>
    </row>
    <row r="843" spans="7:7" ht="19.95" customHeight="1" x14ac:dyDescent="0.25">
      <c r="G843" s="61"/>
    </row>
    <row r="844" spans="7:7" ht="19.95" customHeight="1" x14ac:dyDescent="0.25">
      <c r="G844" s="61"/>
    </row>
    <row r="845" spans="7:7" ht="19.95" customHeight="1" x14ac:dyDescent="0.25">
      <c r="G845" s="61"/>
    </row>
    <row r="846" spans="7:7" ht="19.95" customHeight="1" x14ac:dyDescent="0.25">
      <c r="G846" s="61"/>
    </row>
    <row r="847" spans="7:7" ht="19.95" customHeight="1" x14ac:dyDescent="0.25">
      <c r="G847" s="61"/>
    </row>
    <row r="848" spans="7:7" ht="19.95" customHeight="1" x14ac:dyDescent="0.25">
      <c r="G848" s="61"/>
    </row>
    <row r="849" spans="7:7" ht="19.95" customHeight="1" x14ac:dyDescent="0.25">
      <c r="G849" s="61"/>
    </row>
    <row r="850" spans="7:7" ht="19.95" customHeight="1" x14ac:dyDescent="0.25">
      <c r="G850" s="61"/>
    </row>
    <row r="851" spans="7:7" ht="19.95" customHeight="1" x14ac:dyDescent="0.25">
      <c r="G851" s="61"/>
    </row>
    <row r="852" spans="7:7" ht="19.95" customHeight="1" x14ac:dyDescent="0.25">
      <c r="G852" s="61"/>
    </row>
    <row r="853" spans="7:7" ht="19.95" customHeight="1" x14ac:dyDescent="0.25">
      <c r="G853" s="61"/>
    </row>
    <row r="854" spans="7:7" ht="19.95" customHeight="1" x14ac:dyDescent="0.25">
      <c r="G854" s="61"/>
    </row>
    <row r="855" spans="7:7" ht="19.95" customHeight="1" x14ac:dyDescent="0.25">
      <c r="G855" s="61"/>
    </row>
    <row r="856" spans="7:7" ht="19.95" customHeight="1" x14ac:dyDescent="0.25">
      <c r="G856" s="61"/>
    </row>
    <row r="857" spans="7:7" ht="19.95" customHeight="1" x14ac:dyDescent="0.25">
      <c r="G857" s="61"/>
    </row>
    <row r="858" spans="7:7" ht="19.95" customHeight="1" x14ac:dyDescent="0.25">
      <c r="G858" s="61"/>
    </row>
    <row r="859" spans="7:7" ht="19.95" customHeight="1" x14ac:dyDescent="0.25">
      <c r="G859" s="61"/>
    </row>
    <row r="860" spans="7:7" ht="19.95" customHeight="1" x14ac:dyDescent="0.25">
      <c r="G860" s="61"/>
    </row>
    <row r="861" spans="7:7" ht="19.95" customHeight="1" x14ac:dyDescent="0.25">
      <c r="G861" s="61"/>
    </row>
    <row r="862" spans="7:7" ht="19.95" customHeight="1" x14ac:dyDescent="0.25">
      <c r="G862" s="61"/>
    </row>
    <row r="863" spans="7:7" ht="19.95" customHeight="1" x14ac:dyDescent="0.25">
      <c r="G863" s="61"/>
    </row>
    <row r="864" spans="7:7" ht="19.95" customHeight="1" x14ac:dyDescent="0.25">
      <c r="G864" s="61"/>
    </row>
    <row r="865" spans="7:7" ht="19.95" customHeight="1" x14ac:dyDescent="0.25">
      <c r="G865" s="61"/>
    </row>
    <row r="866" spans="7:7" ht="19.95" customHeight="1" x14ac:dyDescent="0.25">
      <c r="G866" s="61"/>
    </row>
    <row r="867" spans="7:7" ht="19.95" customHeight="1" x14ac:dyDescent="0.25">
      <c r="G867" s="61"/>
    </row>
    <row r="868" spans="7:7" ht="19.95" customHeight="1" x14ac:dyDescent="0.25">
      <c r="G868" s="61"/>
    </row>
    <row r="869" spans="7:7" ht="19.95" customHeight="1" x14ac:dyDescent="0.25">
      <c r="G869" s="61"/>
    </row>
    <row r="870" spans="7:7" ht="19.95" customHeight="1" x14ac:dyDescent="0.25">
      <c r="G870" s="61"/>
    </row>
    <row r="871" spans="7:7" ht="19.95" customHeight="1" x14ac:dyDescent="0.25">
      <c r="G871" s="61"/>
    </row>
    <row r="872" spans="7:7" ht="19.95" customHeight="1" x14ac:dyDescent="0.25">
      <c r="G872" s="61"/>
    </row>
    <row r="873" spans="7:7" ht="19.95" customHeight="1" x14ac:dyDescent="0.25">
      <c r="G873" s="61"/>
    </row>
    <row r="874" spans="7:7" ht="19.95" customHeight="1" x14ac:dyDescent="0.25">
      <c r="G874" s="61"/>
    </row>
    <row r="875" spans="7:7" ht="19.95" customHeight="1" x14ac:dyDescent="0.25">
      <c r="G875" s="61"/>
    </row>
    <row r="876" spans="7:7" ht="19.95" customHeight="1" x14ac:dyDescent="0.25">
      <c r="G876" s="61"/>
    </row>
    <row r="877" spans="7:7" ht="19.95" customHeight="1" x14ac:dyDescent="0.25">
      <c r="G877" s="61"/>
    </row>
    <row r="878" spans="7:7" ht="19.95" customHeight="1" x14ac:dyDescent="0.25">
      <c r="G878" s="61"/>
    </row>
  </sheetData>
  <sheetProtection formatCells="0" formatColumns="0" formatRows="0" insertColumns="0" insertRows="0" insertHyperlinks="0" deleteColumns="0" deleteRows="0" selectLockedCells="1" sort="0" autoFilter="0" pivotTables="0"/>
  <protectedRanges>
    <protectedRange password="C6FD" sqref="B8:G8 I1:IO8 B1:H7" name="Range1"/>
  </protectedRanges>
  <autoFilter ref="A8:FS495" xr:uid="{00000000-0001-0000-0000-000000000000}"/>
  <sortState xmlns:xlrd2="http://schemas.microsoft.com/office/spreadsheetml/2017/richdata2" ref="C10:G136">
    <sortCondition ref="C9"/>
    <sortCondition ref="D9"/>
    <sortCondition ref="E9"/>
  </sortState>
  <mergeCells count="1">
    <mergeCell ref="C7:F7"/>
  </mergeCells>
  <phoneticPr fontId="1" type="noConversion"/>
  <conditionalFormatting sqref="B7:F8">
    <cfRule type="containsErrors" dxfId="1" priority="6">
      <formula>ISERROR(B7)</formula>
    </cfRule>
  </conditionalFormatting>
  <conditionalFormatting sqref="H1:H495">
    <cfRule type="containsErrors" dxfId="0" priority="1">
      <formula>ISERROR(H1)</formula>
    </cfRule>
  </conditionalFormatting>
  <pageMargins left="0.75" right="0.75" top="1" bottom="1" header="0.5" footer="0.5"/>
  <pageSetup orientation="portrait" horizont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48" r:id="rId4" name="txtPathe">
          <controlPr defaultSize="0" autoLine="0" r:id="rId5">
            <anchor moveWithCells="1">
              <from>
                <xdr:col>6</xdr:col>
                <xdr:colOff>0</xdr:colOff>
                <xdr:row>3</xdr:row>
                <xdr:rowOff>99060</xdr:rowOff>
              </from>
              <to>
                <xdr:col>7</xdr:col>
                <xdr:colOff>4305300</xdr:colOff>
                <xdr:row>5</xdr:row>
                <xdr:rowOff>53340</xdr:rowOff>
              </to>
            </anchor>
          </controlPr>
        </control>
      </mc:Choice>
      <mc:Fallback>
        <control shapeId="1048" r:id="rId4" name="txtPath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C56E1C-C372-4C0F-81C2-4997E4D04C1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Tạo 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Tự động tạo Link đến bất kỳ các File có chứa trong thư mục</dc:title>
  <dc:creator>be09</dc:creator>
  <cp:lastModifiedBy>Trần Đại Thức</cp:lastModifiedBy>
  <dcterms:created xsi:type="dcterms:W3CDTF">2011-06-11T11:36:33Z</dcterms:created>
  <dcterms:modified xsi:type="dcterms:W3CDTF">2025-09-26T09:10:24Z</dcterms:modified>
</cp:coreProperties>
</file>